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perez\Desktop\Maestra de Clientes\"/>
    </mc:Choice>
  </mc:AlternateContent>
  <bookViews>
    <workbookView xWindow="0" yWindow="0" windowWidth="20490" windowHeight="7500"/>
  </bookViews>
  <sheets>
    <sheet name="Direcciones de clientes - Z1" sheetId="1" r:id="rId1"/>
  </sheets>
  <definedNames>
    <definedName name="_xlnm._FilterDatabase" localSheetId="0" hidden="1">'Direcciones de clientes - Z1'!$A$1:$AA$84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4" i="1" l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<sst xmlns="http://schemas.openxmlformats.org/spreadsheetml/2006/main" count="1680" uniqueCount="662">
  <si>
    <t>Id. de vendedor</t>
  </si>
  <si>
    <t>Zona UPS</t>
  </si>
  <si>
    <t>Número de cliente</t>
  </si>
  <si>
    <t>Nombre de cliente</t>
  </si>
  <si>
    <t>Nombre corto</t>
  </si>
  <si>
    <t>Id. de condiciones de pago</t>
  </si>
  <si>
    <t>Nivel de precio</t>
  </si>
  <si>
    <t>Código de dirección</t>
  </si>
  <si>
    <t>Zona de ventas</t>
  </si>
  <si>
    <t>Dirección 1</t>
  </si>
  <si>
    <t>Dirección 2</t>
  </si>
  <si>
    <t>Dirección 3</t>
  </si>
  <si>
    <t>Ciudad</t>
  </si>
  <si>
    <t>Estado o provincia</t>
  </si>
  <si>
    <t>País</t>
  </si>
  <si>
    <t>Inactivo</t>
  </si>
  <si>
    <t>Suspensión</t>
  </si>
  <si>
    <t>Fecha de creación</t>
  </si>
  <si>
    <t>Clase de cliente</t>
  </si>
  <si>
    <t>Teléfono 1</t>
  </si>
  <si>
    <t>Teléfono 2</t>
  </si>
  <si>
    <t>Teléfono 3</t>
  </si>
  <si>
    <t>Persona de contacto</t>
  </si>
  <si>
    <t>Correo electr.1</t>
  </si>
  <si>
    <t>Correo electr.2</t>
  </si>
  <si>
    <t>Correo electr.3</t>
  </si>
  <si>
    <t>J003720224</t>
  </si>
  <si>
    <t>AUTOMERCADO LA MURALLA C.A.</t>
  </si>
  <si>
    <t>AUT LA MURALLA</t>
  </si>
  <si>
    <t>7 DIAS</t>
  </si>
  <si>
    <t>AV LA TRINIDAD EL HATILLO CON CALLE EL MURO</t>
  </si>
  <si>
    <t>EDIF NRO 1PISO PB LOCAL LA MURALLA URB EL HATILLO</t>
  </si>
  <si>
    <t/>
  </si>
  <si>
    <t>CARACAS</t>
  </si>
  <si>
    <t>MIRANDA</t>
  </si>
  <si>
    <t>VENEZUELA</t>
  </si>
  <si>
    <t>No</t>
  </si>
  <si>
    <t>SUPERM.IND</t>
  </si>
  <si>
    <t>J298782366</t>
  </si>
  <si>
    <t>AUTOMERCADOS FRESCO MARKET AFN, C.A. C.A.</t>
  </si>
  <si>
    <t>66 FRESC.MARKET</t>
  </si>
  <si>
    <t>21 DIAS</t>
  </si>
  <si>
    <t>CTRA PANAMERICANA KM 20, CALLE LOS PINOS</t>
  </si>
  <si>
    <t>LOCAL NRO N° 1 y 2 SECTOR CORRALITO</t>
  </si>
  <si>
    <t>CARRIZAL</t>
  </si>
  <si>
    <t>(212) 383-2527  Ext. 0000</t>
  </si>
  <si>
    <t>(414) 161-0680  Ext. 0000</t>
  </si>
  <si>
    <t>YESIKA TORO</t>
  </si>
  <si>
    <t>J301420608</t>
  </si>
  <si>
    <t>EXCELSIOR GAMA SUPERMERCADOS, C.A.</t>
  </si>
  <si>
    <t>12 EXEL.GAMA</t>
  </si>
  <si>
    <t>45 DIAS</t>
  </si>
  <si>
    <t>CALLE LIMA LA CALIFORNIA SUR.</t>
  </si>
  <si>
    <t>FRENTE A DHL</t>
  </si>
  <si>
    <t>MACARACUAY, CARACAS</t>
  </si>
  <si>
    <t>CAD.SUPERM</t>
  </si>
  <si>
    <t>(212) 205-4322  Ext. 0000</t>
  </si>
  <si>
    <t>(212) 205-4102  Ext. 0000</t>
  </si>
  <si>
    <t>Yanelvis Noria</t>
  </si>
  <si>
    <t>J305065616</t>
  </si>
  <si>
    <t>PLANSUAREZ, C.A.</t>
  </si>
  <si>
    <t>55 PLANSUAREZ</t>
  </si>
  <si>
    <t>URB. EL CAFETAL, AV. PPAL DE CAURIMARE,</t>
  </si>
  <si>
    <t>CTRO. COMERCIAL CAURIMARE, PB.</t>
  </si>
  <si>
    <t>FINAL BOULEVARD RAUL LEONI</t>
  </si>
  <si>
    <t>(412) 944-4454  Ext. 0000</t>
  </si>
  <si>
    <t>(212) 985-2010  Ext. 0000</t>
  </si>
  <si>
    <t>(212) 985-7923  Ext. 0000</t>
  </si>
  <si>
    <t>ANDREA MESERON</t>
  </si>
  <si>
    <t>CALLE UNO SECTOR SUR LA URBINA,</t>
  </si>
  <si>
    <t>MUNICIPIO SUCRE FTE A LOS BOMBEROS</t>
  </si>
  <si>
    <t>LA URBINA</t>
  </si>
  <si>
    <t>(212) 944-5510  Ext. 0000</t>
  </si>
  <si>
    <t>MIGDERIS REINA</t>
  </si>
  <si>
    <t>CALLE LAS PIEDRITAS EDIF SOLY 5 PISO PB</t>
  </si>
  <si>
    <t>Y MEZZ LOCAL PB Y  MEZZANINA</t>
  </si>
  <si>
    <t>ZONA INDUSTRIAL LA TRINIDAD</t>
  </si>
  <si>
    <t>Omar Wolfang Espinosa</t>
  </si>
  <si>
    <t>AV. TERESA DE LA PARRA,</t>
  </si>
  <si>
    <t>C.C. SANTA MONICA PB. URB. SANTA MONICA,</t>
  </si>
  <si>
    <t>PARROQUIA EL VALLE</t>
  </si>
  <si>
    <t>DISTRITO CAPITAL</t>
  </si>
  <si>
    <t>(212) 944-4855  Ext. 0000</t>
  </si>
  <si>
    <t>J310071381</t>
  </si>
  <si>
    <t>COMERCIALIZADORA CENTRO GUARENAS, C.A.</t>
  </si>
  <si>
    <t>C CTRO GUARENAS</t>
  </si>
  <si>
    <t>PARQUE INDUSTRIAL TERRINCA GALPON 8</t>
  </si>
  <si>
    <t>GUATIRE</t>
  </si>
  <si>
    <t>JOTFREN CRESPO</t>
  </si>
  <si>
    <t>MIRANDA:</t>
  </si>
  <si>
    <t>CC MIRANDA LOCAL D32</t>
  </si>
  <si>
    <t>GUARENAS</t>
  </si>
  <si>
    <t>ANGIE LABRADOR</t>
  </si>
  <si>
    <t>CASARAPA:</t>
  </si>
  <si>
    <t>AV. INTERC. GUARENAS GUATIRE CC NUEVA CASARAPA</t>
  </si>
  <si>
    <t>NIVEL PB LOCAL D-1 URB. LA ARBOLEDA</t>
  </si>
  <si>
    <t>(212) 362-3984  Ext. 0000</t>
  </si>
  <si>
    <t>(414) 021-3852  Ext. 0000</t>
  </si>
  <si>
    <t>PALMA REAL:</t>
  </si>
  <si>
    <t>URB. NUEVA CASARAPA C.C. PALMA REAL</t>
  </si>
  <si>
    <t>(424) 218-6022  Ext. 0000</t>
  </si>
  <si>
    <t>LA PARADA:</t>
  </si>
  <si>
    <t>AV. INTERCOMUNAL GUARENAS GUATIRE</t>
  </si>
  <si>
    <t>CENTRO COMERCIAL LA PARADA, NIVEL PB.</t>
  </si>
  <si>
    <t>(212) 525-7815  Ext. 0000</t>
  </si>
  <si>
    <t>J313189260</t>
  </si>
  <si>
    <t>COMERCIAL CENTRO-CENTRO, C.A</t>
  </si>
  <si>
    <t>C CENTRO-CENTRO</t>
  </si>
  <si>
    <t>AV BARALT EDIF CARONI PISO PB LOCAL 1502</t>
  </si>
  <si>
    <t>URB EL SILENCIO</t>
  </si>
  <si>
    <t>(414) 223-9239  Ext. 0000</t>
  </si>
  <si>
    <t>JOSE CHANG</t>
  </si>
  <si>
    <t>J500412940</t>
  </si>
  <si>
    <t>AUTOMERCADO LA MURALLA 1061 C.A</t>
  </si>
  <si>
    <t>AV MIRADOR CC CENTRO COMERCIAL MIRADOR</t>
  </si>
  <si>
    <t>NIVEL SOTANO 1 LOCAL 1 URB LOMAS DEL MIRADOR</t>
  </si>
  <si>
    <t>LAS MINAS DE BARUTA</t>
  </si>
  <si>
    <t>(212) 963-4141  Ext. 0000</t>
  </si>
  <si>
    <t>VICTOR HERRERA</t>
  </si>
  <si>
    <t>J000202001</t>
  </si>
  <si>
    <t>FARMATODO,C.A.</t>
  </si>
  <si>
    <t>20 FARMATODO</t>
  </si>
  <si>
    <t>ZONA INDUSTRIAL RIO TUY EDIFIC</t>
  </si>
  <si>
    <t>IO NRO 36</t>
  </si>
  <si>
    <t>CHARALLAVE</t>
  </si>
  <si>
    <t>CAD.FARMAC</t>
  </si>
  <si>
    <t>(212) 949-8188  Ext. 0000</t>
  </si>
  <si>
    <t>MONICA RUBIO</t>
  </si>
  <si>
    <t>J001307001</t>
  </si>
  <si>
    <t>BANCO DE DROGAS ANTINEOPLASICAS BADAN (FUNDACION BADAN)</t>
  </si>
  <si>
    <t>BADAN</t>
  </si>
  <si>
    <t>PREPAGADO</t>
  </si>
  <si>
    <t>AV PPAL DE LOS CORTIJOS DE LOURDES EDF CENTRO LOS</t>
  </si>
  <si>
    <t>CORTIJOS PISO 2 OF 26</t>
  </si>
  <si>
    <t>Sí</t>
  </si>
  <si>
    <t>(212) 400-0500  Ext. 0000</t>
  </si>
  <si>
    <t>ALFONSO TORRES</t>
  </si>
  <si>
    <t>J304700458</t>
  </si>
  <si>
    <t>MAYFER DISTRIBUIDORA C.A.</t>
  </si>
  <si>
    <t>MAYFER DISTRIB</t>
  </si>
  <si>
    <t>CLL MANAURE CON URIMARE EDF. ISSI</t>
  </si>
  <si>
    <t>PISO 13 OFC.B EL MARQUES</t>
  </si>
  <si>
    <t>EL MARQUES, CARACAS</t>
  </si>
  <si>
    <t>DISTRIB.</t>
  </si>
  <si>
    <t>(212) 238-3005  Ext. 0000</t>
  </si>
  <si>
    <t>(414) 114-8447  Ext. 0000</t>
  </si>
  <si>
    <t>FRANCISCO FERNANDEZ</t>
  </si>
  <si>
    <t>J308197882</t>
  </si>
  <si>
    <t>PERFUCOSMETICOS K-SA-BLANCA C.A</t>
  </si>
  <si>
    <t>PER K-SA-BLANCA</t>
  </si>
  <si>
    <t>AV.AYACUCHO LOCAL NRO 81</t>
  </si>
  <si>
    <t>SECTOR CENTRO SANTA TERESA DEL TUY</t>
  </si>
  <si>
    <t>SANTA TERESA DEL TUY</t>
  </si>
  <si>
    <t>CAD.PERFUM</t>
  </si>
  <si>
    <t>(293) 231-0317  Ext. 0000</t>
  </si>
  <si>
    <t>(412) 011-9033  Ext. 0000</t>
  </si>
  <si>
    <t>BASILIO CHACCAL</t>
  </si>
  <si>
    <t>J317512448</t>
  </si>
  <si>
    <t>COMERCIAL TODO HOGAR K.R 28, C.A.</t>
  </si>
  <si>
    <t>TODO HOGAR KR28</t>
  </si>
  <si>
    <t>15 DIAS</t>
  </si>
  <si>
    <t>CENTRO INDUSTRIAL 3F, AVENIDA INTERCOMUNAL DE ANTIMANO</t>
  </si>
  <si>
    <t>MUNICIPIO LIBERTADOR, PARROQUIA</t>
  </si>
  <si>
    <t>LA VEGA</t>
  </si>
  <si>
    <t>(412) 261-3888  Ext. 0000</t>
  </si>
  <si>
    <t>(412) 918-5916  Ext. 0000</t>
  </si>
  <si>
    <t>(412) 888-0154  Ext. 0000</t>
  </si>
  <si>
    <t>RUFENG WU</t>
  </si>
  <si>
    <t>J400411696</t>
  </si>
  <si>
    <t>DROGUERIA M&amp;C PHARMAX, S.A</t>
  </si>
  <si>
    <t>DRO M&amp;C PHARMAX</t>
  </si>
  <si>
    <t>CALLE SAN RAFAEL CC PLAZA LA TRINIDAD</t>
  </si>
  <si>
    <t>NIVEL 2 LOCAL 08 URB</t>
  </si>
  <si>
    <t>LA TRINIDAD</t>
  </si>
  <si>
    <t>DROGUERIAS</t>
  </si>
  <si>
    <t>MARIA GONZALEZ</t>
  </si>
  <si>
    <t>J404310975</t>
  </si>
  <si>
    <t>EL MASTRANTO M &amp; M, C.A.</t>
  </si>
  <si>
    <t>EL MASTRANTO</t>
  </si>
  <si>
    <t>CALLE NUCLEO INDUSTRIAL LA LLOVIZNA, LOS VECINOS</t>
  </si>
  <si>
    <t>LOCAL NUCLEO INDUSTRIAL LA LLOVIZNA, LOS VECINOS NRO 3-B</t>
  </si>
  <si>
    <t>SECTOR LA LLOVIZNA</t>
  </si>
  <si>
    <t>(212) 325-4637  Ext. 0000</t>
  </si>
  <si>
    <t>(412) 605-6932  Ext. 0000</t>
  </si>
  <si>
    <t>MERLYN  GARCIA CAMACHO</t>
  </si>
  <si>
    <t>J406632228</t>
  </si>
  <si>
    <t>INVERSIONES TOTAL SERVICE 2015, C.A.</t>
  </si>
  <si>
    <t>INV TOT SERVICE</t>
  </si>
  <si>
    <t>AV TIESTRE CON MADRID, EDIF YOLANDA</t>
  </si>
  <si>
    <t>PB S/N, LA CALIFORNIA</t>
  </si>
  <si>
    <t>(424) 183-8700  Ext. 0000</t>
  </si>
  <si>
    <t>(412) 000-0000  Ext. 0000</t>
  </si>
  <si>
    <t>(212) 581-1453  Ext. 0000</t>
  </si>
  <si>
    <t>LUIS EDUARDO GONZALEZ URBINA</t>
  </si>
  <si>
    <t>J410021438</t>
  </si>
  <si>
    <t>INVERSIONES IHAN, C.A</t>
  </si>
  <si>
    <t>INVERS IHAN</t>
  </si>
  <si>
    <t>CALLE ECUADOR ENTRE PANAMERICA Y FLORES</t>
  </si>
  <si>
    <t>QTA ROSARIO CATIA</t>
  </si>
  <si>
    <t>(AL FRENTE DE LA PANADERIA EL LEON DE ORO)</t>
  </si>
  <si>
    <t>(426) 403-4902  Ext. 0000</t>
  </si>
  <si>
    <t>(424) 158-1906  Ext. 0000</t>
  </si>
  <si>
    <t>JORNEY SALCEDO</t>
  </si>
  <si>
    <t>J412744941</t>
  </si>
  <si>
    <t>INVERSIONES RW 286, C.A</t>
  </si>
  <si>
    <t>INVERS RW 286</t>
  </si>
  <si>
    <t>AV INTERCOMUNAL DE ANTIMANO, ENTRE AV PRINCIPAL</t>
  </si>
  <si>
    <t>EL ALGODONAL Y AV CARAPA LOCAL GALPÓN</t>
  </si>
  <si>
    <t>FOSFORERA VENEZOLANA NRO PB URB LA YAGUARA</t>
  </si>
  <si>
    <t>(412) 240-5806  Ext. 0000</t>
  </si>
  <si>
    <t>RAUL WU</t>
  </si>
  <si>
    <t>J412881272</t>
  </si>
  <si>
    <t>DISTRIBUIDORA BELHER 100, C.A</t>
  </si>
  <si>
    <t>DIST BELHER 100</t>
  </si>
  <si>
    <t>AV LA LINEA EDIF CENTRO EMPRESARIAL</t>
  </si>
  <si>
    <t>URB PRADO DE MARIA</t>
  </si>
  <si>
    <t>RYOPART PISO MEZZANINA LOCAL MEZZANINA</t>
  </si>
  <si>
    <t>(414) 219-5416  Ext. 0000</t>
  </si>
  <si>
    <t>(414) 016-5747  Ext. 0000</t>
  </si>
  <si>
    <t>(412) 368-3484  Ext. 0000</t>
  </si>
  <si>
    <t>JESSICA BELTRAN</t>
  </si>
  <si>
    <t>J500127995</t>
  </si>
  <si>
    <t>DROGUERIA MEDI EXPRESS, C.A.</t>
  </si>
  <si>
    <t>DROG MEDI EXPRE</t>
  </si>
  <si>
    <t>CALLE EL MUEQUE LOCAL NRO 35-38 OF 2 ZONA INDUSTRIAL</t>
  </si>
  <si>
    <t>DE PARACOTOS PARACOTOS MIRANDA ZONA POSTAL 1201</t>
  </si>
  <si>
    <t>PARACOTOS</t>
  </si>
  <si>
    <t>(212) 391-1994  Ext. 0000</t>
  </si>
  <si>
    <t>(414) 247-9585  Ext. 0000</t>
  </si>
  <si>
    <t>(412) 993-7385  Ext. 0000</t>
  </si>
  <si>
    <t>PAULO BOUTROS-GTE/JAELIMAR M-COMPRAS/ARELIS BAENA-DESPACHO</t>
  </si>
  <si>
    <t>J501628785</t>
  </si>
  <si>
    <t>COMERCIALIZADORA 3B GROUP, C.A</t>
  </si>
  <si>
    <t>J502801774</t>
  </si>
  <si>
    <t>TODO BARATIIICO, C.A.</t>
  </si>
  <si>
    <t>TODO BARATIIICO</t>
  </si>
  <si>
    <t>2 DIAS</t>
  </si>
  <si>
    <t>AV FUERZAS ARMADAS: EDIF 70, PISO P.B. LOCAL 6</t>
  </si>
  <si>
    <t>ENTRE LAS ESQUINAS CRUCESITA Y SAN MIGUEL</t>
  </si>
  <si>
    <t>JANY PEREZ / DANIMAR CORTES</t>
  </si>
  <si>
    <t>J503504170</t>
  </si>
  <si>
    <t>CN MILENIUM, C.A</t>
  </si>
  <si>
    <t>COM NUEVO MILEN</t>
  </si>
  <si>
    <t>AV FRANCISCO SOLANO</t>
  </si>
  <si>
    <t>CENTRO COMERCIAL CHACAITO. NIVEL PB LOCAL 103</t>
  </si>
  <si>
    <t>CHACAITO</t>
  </si>
  <si>
    <t>(412) 973-8500  Ext. 0000</t>
  </si>
  <si>
    <t>(412) 471-8272  Ext. 0000</t>
  </si>
  <si>
    <t>(424) 157-0776  Ext. 0000</t>
  </si>
  <si>
    <t>JORGE GANDICA / MARIA PARRA</t>
  </si>
  <si>
    <t>J504465429</t>
  </si>
  <si>
    <t>DISTRITOTAL 1, C.A</t>
  </si>
  <si>
    <t>DISTRITOTAL 1</t>
  </si>
  <si>
    <t>AV. FRANCISCO DE MIRANDA, CALLE LOS LABORATORIOS</t>
  </si>
  <si>
    <t>CENTRO INDUSTRIAL INTENSO PISO 1</t>
  </si>
  <si>
    <t>LOCAL INDUSTRIAL 1B. LOS RUICES</t>
  </si>
  <si>
    <t>(414) 386-4331  Ext. 0000</t>
  </si>
  <si>
    <t>VANESSA PRALL</t>
  </si>
  <si>
    <t>J507219011</t>
  </si>
  <si>
    <t>HOME GENERAL, C.A.</t>
  </si>
  <si>
    <t>HOME GENERAL</t>
  </si>
  <si>
    <t>CONTADO COD</t>
  </si>
  <si>
    <t>AV FUERZAS ARMADAS EDIF 70 PISO PB LOCAL 6</t>
  </si>
  <si>
    <t>SECTOR ENTRE LAS ESQUINAS CRUCESITA Y SAN MIGUEL</t>
  </si>
  <si>
    <t>(414) 222-7777  Ext. 0000</t>
  </si>
  <si>
    <t>J307494166</t>
  </si>
  <si>
    <t>FARMACIA LOCPAR 18, C.A.</t>
  </si>
  <si>
    <t>65 LOCATEL</t>
  </si>
  <si>
    <t>LOCATEL LA YAGUARA AV. INTERCOMUNAL DE ANTIMANO EDIF. DE</t>
  </si>
  <si>
    <t>ESTACIONAMIENTO MAKRO ANTIMANO ZP 1020</t>
  </si>
  <si>
    <t>(212) 203-4565  Ext. 4565</t>
  </si>
  <si>
    <t>LARIS LOCATEL</t>
  </si>
  <si>
    <t>J402009054</t>
  </si>
  <si>
    <t>FARMACIA SALUPET, C.A.</t>
  </si>
  <si>
    <t>AV FINAL FCO. DE MIRANDA, CC LAS VEGAS</t>
  </si>
  <si>
    <t>NIV-P ALTO, LOC-PA 16 SECTOR PETARE</t>
  </si>
  <si>
    <t>PETARE, CARACAS</t>
  </si>
  <si>
    <t>Thailyn  Lopez</t>
  </si>
  <si>
    <t>J500585039</t>
  </si>
  <si>
    <t>SUPERMERCADO RIO VIDA C.A</t>
  </si>
  <si>
    <t>SUPERM RIO VIDA</t>
  </si>
  <si>
    <t>CALLE LEONARDO DA VINCI</t>
  </si>
  <si>
    <t>QTA RIO VIDA</t>
  </si>
  <si>
    <t>URB BELLO MONTE</t>
  </si>
  <si>
    <t>GENESIS GONZALEZ</t>
  </si>
  <si>
    <t>AV ANDRES BELLO CON LA AV LAS SALLES</t>
  </si>
  <si>
    <t>MUNICIPIO LIBERTADOR</t>
  </si>
  <si>
    <t>(414) 916-9755  Ext. 0000</t>
  </si>
  <si>
    <t>RICARDO ZAPATA</t>
  </si>
  <si>
    <t>NIVEL 7, C.C. UNICENTRO EL  MARQUES,</t>
  </si>
  <si>
    <t>AV. FRANCISCO MIRANDA, MUNICIPIO SUCRE.</t>
  </si>
  <si>
    <t>(412) 379-1622  Ext. 0000</t>
  </si>
  <si>
    <t>ALEX MARTINEZ</t>
  </si>
  <si>
    <t>AV PRINCIPAL DE SANTA SOFIA. CENTRO COM SANTA SOFIA</t>
  </si>
  <si>
    <t>LOCAL A-9</t>
  </si>
  <si>
    <t>EL CAFETAL</t>
  </si>
  <si>
    <t>(424) 179-7471  Ext. 0000</t>
  </si>
  <si>
    <t>J502022120</t>
  </si>
  <si>
    <t>FARMACIA LCT 18, C.A</t>
  </si>
  <si>
    <t>UNICENTRO EL MARQUEZ LOCAL 162-A</t>
  </si>
  <si>
    <t>AV.FCO.DE MIRANDA LA CALIFORNIA NORTE</t>
  </si>
  <si>
    <t>THAILYN LOPEZ</t>
  </si>
  <si>
    <t>AV LAS DELICIAS No 49, C.C LOCATEL URB LAS FLORESTA, LOCAL</t>
  </si>
  <si>
    <t>No2</t>
  </si>
  <si>
    <t>MARACAY</t>
  </si>
  <si>
    <t>ARAGUA</t>
  </si>
  <si>
    <t>AV LOS AVIADORES SECTOR PALO NEGRO CC PARQUE LOS AVIADORES</t>
  </si>
  <si>
    <t>NIVEL PB</t>
  </si>
  <si>
    <t>PALO NEGRO</t>
  </si>
  <si>
    <t>AV PRINCIPAL CC BUENAVENTURA NIVEL PB LOCAL 2 SECTOR</t>
  </si>
  <si>
    <t>LA ENCRUCIJADA TURMERO</t>
  </si>
  <si>
    <t>TURMERO</t>
  </si>
  <si>
    <t>LOCATEL FENIX SAN BERNADINO AV GUAICAIPURO URB SAN BERNADINO</t>
  </si>
  <si>
    <t>CALLE SANATORIO DEL AVILA</t>
  </si>
  <si>
    <t>EDF YACAMBU</t>
  </si>
  <si>
    <t>BOLEITA NORTE</t>
  </si>
  <si>
    <t>LOCATEL CLINICA CARACAS AVENIDA PANTEON CON AV ALAMEDA PB</t>
  </si>
  <si>
    <t>SAN BERNADINO</t>
  </si>
  <si>
    <t>J306811036</t>
  </si>
  <si>
    <t>FARMACIA DARANPE, C.A.</t>
  </si>
  <si>
    <t>AV SUCRE DE LOS DOS CAMINOS ENTRE</t>
  </si>
  <si>
    <t>1ERA Y 2DA TRANSVERSAL</t>
  </si>
  <si>
    <t>LOS DOS CAMINOS</t>
  </si>
  <si>
    <t>THAILYN  LOPEZ</t>
  </si>
  <si>
    <t>AV CIRCUNVALACION DEL SOL CC EL SOL</t>
  </si>
  <si>
    <t>NIVEL 3 LOCAL 3-13</t>
  </si>
  <si>
    <t>URB SANTA PAULA. BARUTA</t>
  </si>
  <si>
    <t>J307240512</t>
  </si>
  <si>
    <t>PHARMATENCION SERVICIOS FARMACEUTICOS C.A.</t>
  </si>
  <si>
    <t>FARMATENCION</t>
  </si>
  <si>
    <t>AV SUR 13 ESQUINA MIGUELACHO A MISERICORDIA,</t>
  </si>
  <si>
    <t>CASA NO. 35 PB LA CANDELARIA MUNICIPIO LIBERTADOR.</t>
  </si>
  <si>
    <t>DIAGONAL PARQUE CARABOBO</t>
  </si>
  <si>
    <t>(212) 285-7745  Ext. 0000</t>
  </si>
  <si>
    <t>BRIGITTE MONTESINOS</t>
  </si>
  <si>
    <t>J309009591</t>
  </si>
  <si>
    <t>FARMACIA LOVALLE, C.A.</t>
  </si>
  <si>
    <t>AV. INTERCOMUNAL DEL VALLE CC EL VALLE</t>
  </si>
  <si>
    <t>NIVEL 8,LOCAL F-7 EL VALLE</t>
  </si>
  <si>
    <t>EL VALLE, CARACAS</t>
  </si>
  <si>
    <t>J309269577</t>
  </si>
  <si>
    <t>FARMACIA VERAMED, C.A.</t>
  </si>
  <si>
    <t>PARC.DE COMER #, 3</t>
  </si>
  <si>
    <t>ENTRE CALLE G Y AV.CASTILLEJO</t>
  </si>
  <si>
    <t>URB.CASTILLEJO</t>
  </si>
  <si>
    <t>(414) 211-6278  Ext. 0000</t>
  </si>
  <si>
    <t>(212) 661-6263  Ext. 0216</t>
  </si>
  <si>
    <t>FREDDY CHACON/FRANKLIN CHACON</t>
  </si>
  <si>
    <t>AVENIDA INTERCOMUNAL GUARENAS-GUATIRE</t>
  </si>
  <si>
    <t>SECTOR HACIENDA SAN P</t>
  </si>
  <si>
    <t>AV VERACRUZ CON CALLE MADRID EDIF</t>
  </si>
  <si>
    <t>LOCATEL PISO PB LOCAL PARCELAS 92 Y 93</t>
  </si>
  <si>
    <t>URB  LAS MERCEDES CARACAS MIRANDA</t>
  </si>
  <si>
    <t>J317404343</t>
  </si>
  <si>
    <t>FARMACIA Y MUCHO MAS I, C.A.</t>
  </si>
  <si>
    <t>AV SUR 13, ESQUINA DE MIGUELACHO A MISERICORDIA</t>
  </si>
  <si>
    <t>LOCAL NRO. PB URB</t>
  </si>
  <si>
    <t>LA CANDELARIA</t>
  </si>
  <si>
    <t>(424) 141-6511  Ext. 0000</t>
  </si>
  <si>
    <t>(414) 380-4689  Ext. 0000</t>
  </si>
  <si>
    <t>GLORIA VILLARROEL</t>
  </si>
  <si>
    <t>J506172488</t>
  </si>
  <si>
    <t>FARMACIA TOP 24 C.A</t>
  </si>
  <si>
    <t>C.C. EL VALLE, PISO 8 LOCAL F1, EL VALLE</t>
  </si>
  <si>
    <t>(212) 322-6561  Ext. 0000</t>
  </si>
  <si>
    <t>(212) 671-6065  Ext. 0000</t>
  </si>
  <si>
    <t>DESIREE DIAZ</t>
  </si>
  <si>
    <t>J306035010</t>
  </si>
  <si>
    <t>FARMACIA SAFEL 777 S.A.</t>
  </si>
  <si>
    <t>AV. SAN FELIPE QTA. BOCRE FTE. TORRE</t>
  </si>
  <si>
    <t>COINASA LA CASTELLANA</t>
  </si>
  <si>
    <t>LA CASTELLANA, CARACAS</t>
  </si>
  <si>
    <t>CHACAITO FARMACIA  CII PARQUE PLAZA BRION CCEX NVL 3 LOCAL</t>
  </si>
  <si>
    <t>L-01 AV. FCO DE MIRANDA CHACAITO ZP 1050 VENEZUELA</t>
  </si>
  <si>
    <t>J500379625</t>
  </si>
  <si>
    <t>DROTUYA, C.A.</t>
  </si>
  <si>
    <t>AV URDANETA, ESQ. DE PUNCERES A</t>
  </si>
  <si>
    <t>PLAZA ESPAÑA EDIF ASTRA PISO 1</t>
  </si>
  <si>
    <t>OF S/N SECTOR CASCO CENTRAL</t>
  </si>
  <si>
    <t>(412) 315-8538  Ext. 0000</t>
  </si>
  <si>
    <t>JEFRY GONZALEZ</t>
  </si>
  <si>
    <t>J306943838</t>
  </si>
  <si>
    <t>TRINIGOLD FARMACIA, C.A.</t>
  </si>
  <si>
    <t>CENTRO COMERCIAL EXPRESO PB LO</t>
  </si>
  <si>
    <t>C LOCATEL AV LUIS DE CAMOENS L</t>
  </si>
  <si>
    <t>A TRINIDAD</t>
  </si>
  <si>
    <t>BARUTA, CARACAS</t>
  </si>
  <si>
    <t>J306725024</t>
  </si>
  <si>
    <t>AUTOMERCADOS PLAZA'S, C.A.</t>
  </si>
  <si>
    <t>42 PLAZA</t>
  </si>
  <si>
    <t>URB. CASTILLEJO, PARC.DE COMER # 3</t>
  </si>
  <si>
    <t>CERCA TERM. GUATIRE</t>
  </si>
  <si>
    <t>CASTILLEJO, GUATIRE</t>
  </si>
  <si>
    <t>(212) 227-8391  Ext. 0000</t>
  </si>
  <si>
    <t>(212) 227-8394  Ext. 0000</t>
  </si>
  <si>
    <t>(212) 227-8340  Ext. 0000</t>
  </si>
  <si>
    <t>JOSE LUIS GUTIERREZ</t>
  </si>
  <si>
    <t>AVENIDA INTERCOMUNAL GUARENAS-</t>
  </si>
  <si>
    <t>GUATIRE, SECTOR HACIENDA SAN PEDRO</t>
  </si>
  <si>
    <t>LOTE L1-D</t>
  </si>
  <si>
    <t>BUENAVENTURA, GUATIRE</t>
  </si>
  <si>
    <t>(212) 935-8533  Ext. 0000</t>
  </si>
  <si>
    <t>(212) 935-2521  Ext. 0000</t>
  </si>
  <si>
    <t>YATZARY TOLEDO</t>
  </si>
  <si>
    <t>AVILA,CARACAS. NO RECIBE LOS V</t>
  </si>
  <si>
    <t>IERNES</t>
  </si>
  <si>
    <t>TERRAZAS DEL AVILA, CARACAS</t>
  </si>
  <si>
    <t>(212) 242-4671  Ext. 0000</t>
  </si>
  <si>
    <t>(212) 241-5303  Ext. 0000</t>
  </si>
  <si>
    <t>Miriam Estanga</t>
  </si>
  <si>
    <t>AV. FRANCISCO DE MIRANDA C.C.</t>
  </si>
  <si>
    <t>CENTRO PLAZA LOCAL 5 URB. LOS</t>
  </si>
  <si>
    <t>PALOS GRANDES</t>
  </si>
  <si>
    <t>LOS PALOS GRANDES, CARACAS</t>
  </si>
  <si>
    <t>(212) 284-3723  Ext. 0000</t>
  </si>
  <si>
    <t>(212) 286-9050  Ext. 0000</t>
  </si>
  <si>
    <t>JESUS SANTANDER</t>
  </si>
  <si>
    <t>VISTA ALEGRE 3RA. CALLE EDF. USLAR</t>
  </si>
  <si>
    <t>CC. VISTA ALEGRE LOCAL AUTOMERCADO</t>
  </si>
  <si>
    <t>VISTA ALEGRE, CARACAS</t>
  </si>
  <si>
    <t>(212) 472-5526  Ext. 0000</t>
  </si>
  <si>
    <t>(212) 472-3001  Ext. 0000</t>
  </si>
  <si>
    <t>ARTURO CARCAMO</t>
  </si>
  <si>
    <t>C.C. LOS CEDROS AV. LIBERTADOR</t>
  </si>
  <si>
    <t>MEZZANINA 1. URB LOS CEDROS</t>
  </si>
  <si>
    <t>LOS CEDROS, CARACAS</t>
  </si>
  <si>
    <t>(212) 762-9482  Ext. 0000</t>
  </si>
  <si>
    <t>(212) 761-9955  Ext. 0000</t>
  </si>
  <si>
    <t>(212) 762-6860  Ext. 0000</t>
  </si>
  <si>
    <t>JUAN NIÑO</t>
  </si>
  <si>
    <t>AV.PPAL. LOMAS DE LA LAGUNITA,</t>
  </si>
  <si>
    <t>CTRO. COM. TERRAZA DE LA LAGUNITA.</t>
  </si>
  <si>
    <t>EL HATILLO</t>
  </si>
  <si>
    <t>LA LAGUNITA</t>
  </si>
  <si>
    <t>(212) 961-4611  Ext. 0000</t>
  </si>
  <si>
    <t>(212) 963-9513  Ext. 0000</t>
  </si>
  <si>
    <t>EDINBERTO CARDENAS</t>
  </si>
  <si>
    <t>URB VALLE ARRIBA AV A CON CALLE C,</t>
  </si>
  <si>
    <t>C.C. MARKET CENTER. FRENTE AL HOSP NIÑOS</t>
  </si>
  <si>
    <t>SAN JUAN DE DIOS</t>
  </si>
  <si>
    <t>VALLE ARRIBA, CARACAS</t>
  </si>
  <si>
    <t>(212) 975-6612  Ext. 0000</t>
  </si>
  <si>
    <t>(212) 975-9877  Ext. 0000</t>
  </si>
  <si>
    <t>ANDREA MARCHANT</t>
  </si>
  <si>
    <t>LOS CHAGUARAMOS, AV DE LA COLINA ANTIGUO</t>
  </si>
  <si>
    <t>AUTOCINE</t>
  </si>
  <si>
    <t>PARROQUIA SAN PEDRO</t>
  </si>
  <si>
    <t>LOS CHAGUARAMOS, CARACAS</t>
  </si>
  <si>
    <t>(212) 735-1703  Ext. 0000</t>
  </si>
  <si>
    <t>ALFREDO CHACON</t>
  </si>
  <si>
    <t>LOS NARANJOS C.C. GALERIAS LOS NARANJOS</t>
  </si>
  <si>
    <t>ENTRE AV EL PAUJI Y AV. PPAL LOS NARANJOS.</t>
  </si>
  <si>
    <t>NIVEL PLAZA LOC.PB-12</t>
  </si>
  <si>
    <t>LOS NARANJOS, CARACAS</t>
  </si>
  <si>
    <t>(212) 216-3034  Ext. 0000</t>
  </si>
  <si>
    <t>(212) 216-3035  Ext. 0000</t>
  </si>
  <si>
    <t>JOSE HERNANDEZ</t>
  </si>
  <si>
    <t>VERACRUZ:   ENTRE AV PPAL DE LAS MERCEDES CON</t>
  </si>
  <si>
    <t>CALLE VERACRUZ. EDF.  LA HACIENDA. PB.</t>
  </si>
  <si>
    <t>LAS MERCEDES, CARACAS</t>
  </si>
  <si>
    <t>(212) 992-7353  Ext. 0000</t>
  </si>
  <si>
    <t>(212) 991-2242  Ext. 0000</t>
  </si>
  <si>
    <t>MIRIAM ESTANGA</t>
  </si>
  <si>
    <t>CAFETAL: AV BOULEVARD CRUCE CON CALLE SANTA ANA.</t>
  </si>
  <si>
    <t>CTRO COMERCIAL EL CAFETAL.</t>
  </si>
  <si>
    <t>EL CAFETAL, CARACAS</t>
  </si>
  <si>
    <t>(212) 985-2491  Ext. 0000</t>
  </si>
  <si>
    <t>(212) 985-7765  Ext. 0000</t>
  </si>
  <si>
    <t>(212) 985-4859  Ext. 0000</t>
  </si>
  <si>
    <t>PEDRO RODRIGUEZ</t>
  </si>
  <si>
    <t>LOS SAMANES: CENTRO COMERCIAL LOS SAMANES.</t>
  </si>
  <si>
    <t>URB.LOS SAMANES. CALLE 12. NIVEL SOTANO</t>
  </si>
  <si>
    <t>BARUTA</t>
  </si>
  <si>
    <t>LOS SAMANES</t>
  </si>
  <si>
    <t>(212) 945-6079  Ext. 0000</t>
  </si>
  <si>
    <t>(212) 945-7170  Ext. 0000</t>
  </si>
  <si>
    <t>RAIMUNDO FREITAS</t>
  </si>
  <si>
    <t>GALERIA: AV. PPAL PRADOS DEL ESTE,</t>
  </si>
  <si>
    <t>CENTRO C. GALERIAS. PB.</t>
  </si>
  <si>
    <t>PRADOS DEL ESTE</t>
  </si>
  <si>
    <t>(212) 975-2942  Ext. 0000</t>
  </si>
  <si>
    <t>(212) 975-4992  Ext. 0000</t>
  </si>
  <si>
    <t>FERNANDO ESTANGA</t>
  </si>
  <si>
    <t>PRADOS: FINAL AV PPAL PRADOS DEL ESTE.</t>
  </si>
  <si>
    <t>C.C.PLAZA PRADO</t>
  </si>
  <si>
    <t>ALTO PRADO, CARACAS</t>
  </si>
  <si>
    <t>(212) 977-2505  Ext. 0000</t>
  </si>
  <si>
    <t>(212) 976-5422  Ext. 0000</t>
  </si>
  <si>
    <t>(212) 977-4012  Ext. 0000</t>
  </si>
  <si>
    <t>CARLOS DA SILVA</t>
  </si>
  <si>
    <t>HIGUEROTE: CARR NAC CARACAS - HIGUEROTE CRUCE AV  LAS AVES.</t>
  </si>
  <si>
    <t>URB AGUA SAL. C.C CABO MALL. NIVEL PB. LOC DEL 23 AL 32</t>
  </si>
  <si>
    <t>HIGUEROTE</t>
  </si>
  <si>
    <t>(424) 169-1330  Ext. 0000</t>
  </si>
  <si>
    <t>LUIS CASTELLANOS</t>
  </si>
  <si>
    <t>PARRAL: AV. RIO ORINOCO. CC EL PARRAL PB</t>
  </si>
  <si>
    <t>URB EL PARRAL, CALLE 125 N° 120-60</t>
  </si>
  <si>
    <t>PARROQUIA SAN JOSE</t>
  </si>
  <si>
    <t>VALENCIA</t>
  </si>
  <si>
    <t>CARABOBO</t>
  </si>
  <si>
    <t>(241) 825-3617  Ext. 0000</t>
  </si>
  <si>
    <t>(241) 824-8695  Ext. 0000</t>
  </si>
  <si>
    <t>SERGIO FIGUEIRA</t>
  </si>
  <si>
    <t>NISPEROS: AV PASEO CUATRICENTENARIO ENTRE CALLE 3 Y</t>
  </si>
  <si>
    <t>AV B C. C. LOS NISPEROS. NIVEL SOTANO. OFC 109-A</t>
  </si>
  <si>
    <t>URB TERRAZA LOS NISPEROS</t>
  </si>
  <si>
    <t>MANUEL GARCIA</t>
  </si>
  <si>
    <t>SANTA EDUVIGIS: URB SANTA EDUVIGIS. 6TA TRANSVERSAL</t>
  </si>
  <si>
    <t>LOCAL # 6  AL LADO DE LA PANADERIA PUNTA DEL SOL</t>
  </si>
  <si>
    <t>SANTA EDUVIGIS</t>
  </si>
  <si>
    <t>BORIS VIVAS</t>
  </si>
  <si>
    <t>ROSAL: ENTRE AV SOJO Y AV. CARABOBO</t>
  </si>
  <si>
    <t>ANTIGUA QUINTA IBAIONDO. LOCAL 463</t>
  </si>
  <si>
    <t>URB EL ROSAL</t>
  </si>
  <si>
    <t>(212) 944-4310  Ext. 0000</t>
  </si>
  <si>
    <t>(212) 944-2885  Ext. 0000</t>
  </si>
  <si>
    <t>MARCIAL RUIZ</t>
  </si>
  <si>
    <t>AV LOS PROCERES, CENTRO PARQUE ANAUCO</t>
  </si>
  <si>
    <t>SAN BERNANDINO</t>
  </si>
  <si>
    <t>(424) 173-9389  Ext. 0000</t>
  </si>
  <si>
    <t>RAIMUNDO DE FREITAS</t>
  </si>
  <si>
    <t>CENTRO COMERCIAL LOS LLANEROS, KILOMETRO 14 DE LA CARRETERA</t>
  </si>
  <si>
    <t>PANAMERICANA AV CARRETERA PANAMERICANA URB SECTOR LAS MINAS</t>
  </si>
  <si>
    <t>SAN ANTONIO DE LOS ALTOS</t>
  </si>
  <si>
    <t>DUBRASKA SALCEDO</t>
  </si>
  <si>
    <t>C. C. MONTE BELLO. PLAZA LOCAL # 13 URB MONTE BELLO,</t>
  </si>
  <si>
    <t>SECTOR LOS BUDARES ENTRE URB LLANO ALTO Y LOS BUDARES</t>
  </si>
  <si>
    <t>CRUCE LOMA URQUIA MUNICIPIO CARRIZAL</t>
  </si>
  <si>
    <t>AVENIDA PAEZ CRUCE CON AVENIDA EL EJERCITO, QUINTA MAVEL,</t>
  </si>
  <si>
    <t>URBANIZACIÓN EL PARAISO.</t>
  </si>
  <si>
    <t>FRENTE AL COLEGIO SAN JOSE DE TARBES</t>
  </si>
  <si>
    <t>(212) 335-5955  Ext. 0000</t>
  </si>
  <si>
    <t>AV SAN SEBASTIAN CON AV LA INDUSTRIA</t>
  </si>
  <si>
    <t>EDIFICIO  SERVICAMES LOCAL C-1 ANEXO AL EDIF PLAZA</t>
  </si>
  <si>
    <t>SECTOR BARUTA, MUNICIPIO BARUTA</t>
  </si>
  <si>
    <t>CARACAS- BARUTA</t>
  </si>
  <si>
    <t>(414) 292-5319  Ext. 0000</t>
  </si>
  <si>
    <t>JHONNY DAVILA</t>
  </si>
  <si>
    <t>J307976420</t>
  </si>
  <si>
    <t>FARMACIA NORAM, C.A.</t>
  </si>
  <si>
    <t>FINAL CALL STA ANA PARCELAMIEN</t>
  </si>
  <si>
    <t>TO IND FUNDO COSPE LOC 4 BOLEI</t>
  </si>
  <si>
    <t>TA SUR</t>
  </si>
  <si>
    <t>maribelg@lamuralla.com.ve</t>
  </si>
  <si>
    <t>compras@lamuralla.com.ve</t>
  </si>
  <si>
    <t>suzcatequi@lamuralla.com.ve</t>
  </si>
  <si>
    <t>comprasfrescomarket@gmail.com</t>
  </si>
  <si>
    <t>jfrontado@excelsiorgama.com</t>
  </si>
  <si>
    <t>drogueriacedis@excelsiorgama.com</t>
  </si>
  <si>
    <t>dmoncada@excelsiorgama.com</t>
  </si>
  <si>
    <t>plansuarez@ponce-benzo.com</t>
  </si>
  <si>
    <t>cuentasporpagar@plansuarez.com.ve</t>
  </si>
  <si>
    <t>garciag@automercadosemporium.com</t>
  </si>
  <si>
    <t>ariasp@automercadosemporium.com</t>
  </si>
  <si>
    <t>reekhout@automercadosemporium.com</t>
  </si>
  <si>
    <t>cuentasporpagar-bounces@automercadosemporium.com</t>
  </si>
  <si>
    <t>centrocentro1@gmail.com</t>
  </si>
  <si>
    <t>vherrera@lamuralla.com.ve</t>
  </si>
  <si>
    <t>proveedorescendis@farmatodo.com</t>
  </si>
  <si>
    <t>dayana.villalobos@farmatodo.com</t>
  </si>
  <si>
    <t>cobranzas@ponce-benzo.com</t>
  </si>
  <si>
    <t>operaciones@fundacionbadan.org</t>
  </si>
  <si>
    <t>cxp@fundacionbadan.org</t>
  </si>
  <si>
    <t>jesus.vivas@fundacionbadan.org</t>
  </si>
  <si>
    <t>mayferd@gmail.com</t>
  </si>
  <si>
    <t>mayferpagos@gmail.com</t>
  </si>
  <si>
    <t>bchbkb@hotmail.com</t>
  </si>
  <si>
    <t>rufeng0108@gmail.com</t>
  </si>
  <si>
    <t>ana.fernanadez2026@gmail.com</t>
  </si>
  <si>
    <t>almacen@drogueriabiogenetica.com</t>
  </si>
  <si>
    <t>comprasmastrantomm@gmail.com</t>
  </si>
  <si>
    <t>compras@drogueriaits2015.com.ve</t>
  </si>
  <si>
    <t>analista.compras@drogueriaits2015.com.ve</t>
  </si>
  <si>
    <t>costos@drogueriaits2015.com.ve</t>
  </si>
  <si>
    <t>jorneysalcedo@gmail.com</t>
  </si>
  <si>
    <t>inversionesihan@gmail.com</t>
  </si>
  <si>
    <t>inversionesrw286@gmail.com</t>
  </si>
  <si>
    <t>distribuidorabelher100@gmail.com</t>
  </si>
  <si>
    <t>dbelheradmon100@gmail.com</t>
  </si>
  <si>
    <t>VENTASGRUPOMEDIEXPRESS@GMAIL.COM</t>
  </si>
  <si>
    <t>ADMBIGFARMA2@GMAIL.COM</t>
  </si>
  <si>
    <t>ALMACENGRUPOMEDIEXPRESS@GMAIL.COM</t>
  </si>
  <si>
    <t>comercializadora3bgroup@gmail.com</t>
  </si>
  <si>
    <t>todobaratiiicocompra@gmail.com</t>
  </si>
  <si>
    <t>todobaratiiico.cuentasxpagar@gmail.com</t>
  </si>
  <si>
    <t>cnmilenium@hotmail.com</t>
  </si>
  <si>
    <t>pedidosmilenium@hotmail.com</t>
  </si>
  <si>
    <t>ventas.distritotaluno@gmail.com</t>
  </si>
  <si>
    <t>compras2.elparaiso@locatelve.com</t>
  </si>
  <si>
    <t>cuentasxpagar1.elparaiso@locatelve.com</t>
  </si>
  <si>
    <t>almacen1.layaguara@gmail.com</t>
  </si>
  <si>
    <t>compras1.petare@locatelve.com</t>
  </si>
  <si>
    <t>cuentasxpagar1.petare@locatelve.com</t>
  </si>
  <si>
    <t>almacen1.petare@locatelve.com</t>
  </si>
  <si>
    <t>supermercadoriovida@gmail.com</t>
  </si>
  <si>
    <t>cuentasporpagarriovida@gmail.com</t>
  </si>
  <si>
    <t>comprasriovida@gmail.com</t>
  </si>
  <si>
    <t>grupocuentasxpagar.boleita@locatelve.com</t>
  </si>
  <si>
    <t>aliadocomercialcaracas@ponce-benzo.com</t>
  </si>
  <si>
    <t>peralta.ana@locatelve.com</t>
  </si>
  <si>
    <t>cuentasxpagar1.santapaula@locatelve.com</t>
  </si>
  <si>
    <t>compras1.santapaula@locatelve.com</t>
  </si>
  <si>
    <t>brigitte.montesinos@farmatencion.com</t>
  </si>
  <si>
    <t>hylda.tovar@farmatencion.com</t>
  </si>
  <si>
    <t>laformuladrogueria2024@gmail.com</t>
  </si>
  <si>
    <t>gerentetienda2.losteques@locatelve.com</t>
  </si>
  <si>
    <t>verificacion1.elvalle@locatelve.com</t>
  </si>
  <si>
    <t>almacen1.elvalle@gmail.com</t>
  </si>
  <si>
    <t>jefecompras.santamonica@locatelve.com</t>
  </si>
  <si>
    <t>analistacuentasporpagar.santamonica@locatelve.com</t>
  </si>
  <si>
    <t>jefealmacen.santamonica@locatelve.com</t>
  </si>
  <si>
    <t>fciaymmi@gmail.com</t>
  </si>
  <si>
    <t>pascente.maurizio@locatelve.com</t>
  </si>
  <si>
    <t>cuentasxpagar1.elvalle@locatelve.com</t>
  </si>
  <si>
    <t>compras2.lacastellana@locatelve.com</t>
  </si>
  <si>
    <t>costos1.lacastellana@locatelve.com</t>
  </si>
  <si>
    <t>farmacia1.lacastellana@locatelve.com</t>
  </si>
  <si>
    <t>compras1.chacaito@locatelve.com</t>
  </si>
  <si>
    <t>drotuyacompras@gmail.com</t>
  </si>
  <si>
    <t>drotuya.adm@gmail.com</t>
  </si>
  <si>
    <t>ostos.julio@locatelve.com</t>
  </si>
  <si>
    <t>cuentasxpagar3.latrinidad@locatelve.com</t>
  </si>
  <si>
    <t>almacen1.latrinidad@locatelve.com</t>
  </si>
  <si>
    <t>apguatire@elplazas.com</t>
  </si>
  <si>
    <t>administracionplazas@ponce-benzo.com</t>
  </si>
  <si>
    <t>apbuenaventura@elplazas.com</t>
  </si>
  <si>
    <t>apavila@elplazas.com</t>
  </si>
  <si>
    <t>apcentro@elplazas.com</t>
  </si>
  <si>
    <t>apvista@elplazas.com</t>
  </si>
  <si>
    <t>apcedros@elplazas.com</t>
  </si>
  <si>
    <t>aplagunita@elplazas.com</t>
  </si>
  <si>
    <t>apvalle@elplazas.com</t>
  </si>
  <si>
    <t>apchaguaramos@elplazas.com</t>
  </si>
  <si>
    <t>apnaranjos@elplazas.com</t>
  </si>
  <si>
    <t>apveracruz@elplazas.com</t>
  </si>
  <si>
    <t>apcafetal@elplazas.com</t>
  </si>
  <si>
    <t>apsamanes@elplazas.com</t>
  </si>
  <si>
    <t>apgalerias@elplazas.com</t>
  </si>
  <si>
    <t>apprado@elplazas.com</t>
  </si>
  <si>
    <t>aphiguerote@elplazas.com</t>
  </si>
  <si>
    <t>apparral@elplazas.com</t>
  </si>
  <si>
    <t>apnisperos@elplazas.com</t>
  </si>
  <si>
    <t>apeduvigis@elplazas.com</t>
  </si>
  <si>
    <t>aprosal@elplazas.com</t>
  </si>
  <si>
    <t>apsbernardino@elplazas.com</t>
  </si>
  <si>
    <t>jhonnyd18@gmail.com</t>
  </si>
  <si>
    <t>smorales@elplazas.com</t>
  </si>
  <si>
    <t>apbaruta@elplazas.com</t>
  </si>
  <si>
    <t>gerentecompras.plazabolivar@locatelve.com</t>
  </si>
  <si>
    <t>cuentasxpagar1.plazabolivar@locatelve.com</t>
  </si>
  <si>
    <t>jefecxp.plazabolivarlm@gmail.com</t>
  </si>
  <si>
    <t>REGULAR</t>
  </si>
  <si>
    <t>EVENTUAL</t>
  </si>
  <si>
    <t>Nombre y Apellido</t>
  </si>
  <si>
    <t>MILAGROS FERNANDEZ 10</t>
  </si>
  <si>
    <t>MILAGROS FERNANDEZ 30</t>
  </si>
  <si>
    <t>BETSY CASTRO</t>
  </si>
  <si>
    <t>EDUWARD MARTÍNEZ</t>
  </si>
  <si>
    <t>WILLIAN FERMIN</t>
  </si>
  <si>
    <t>JONATHAN FERNÁNDEZ</t>
  </si>
  <si>
    <t>CARLOS ZURITA</t>
  </si>
  <si>
    <t>ELVIS RONDON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</si>
</sst>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9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4"/>
  <sheetViews>
    <sheetView tabSelected="1" zoomScale="90" zoomScaleNormal="90" workbookViewId="0">
      <selection activeCell="B6" sqref="B6"/>
    </sheetView>
  </sheetViews>
  <sheetFormatPr baseColWidth="10" defaultRowHeight="12" x14ac:dyDescent="0.2"/>
  <cols>
    <col min="1" max="1" width="18.83203125" customWidth="1"/>
    <col min="2" max="2" width="26.6640625" bestFit="1" customWidth="1"/>
    <col min="3" max="3" width="15" customWidth="1"/>
    <col min="4" max="4" width="21.6640625" customWidth="1"/>
    <col min="5" max="5" width="65.83203125" bestFit="1" customWidth="1"/>
    <col min="6" max="8" width="18.83203125" customWidth="1"/>
    <col min="9" max="9" width="23" customWidth="1"/>
    <col min="10" max="10" width="19.1640625" customWidth="1"/>
    <col min="11" max="11" width="33.33203125" customWidth="1"/>
    <col min="12" max="12" width="32.83203125" customWidth="1"/>
    <col min="13" max="13" width="30.83203125" customWidth="1"/>
    <col min="14" max="14" width="13.33203125" customWidth="1"/>
    <col min="15" max="15" width="21.6640625" customWidth="1"/>
    <col min="16" max="16" width="10.6640625" customWidth="1"/>
    <col min="17" max="17" width="13.6640625" customWidth="1"/>
    <col min="18" max="18" width="18.83203125" customWidth="1"/>
    <col min="19" max="19" width="21.33203125" style="2" customWidth="1"/>
    <col min="20" max="23" width="18.83203125" customWidth="1"/>
    <col min="24" max="24" width="71.83203125" bestFit="1" customWidth="1"/>
    <col min="25" max="25" width="54" bestFit="1" customWidth="1"/>
    <col min="26" max="27" width="26.33203125" bestFit="1" customWidth="1"/>
  </cols>
  <sheetData>
    <row r="1" spans="1:27" ht="17.45" customHeight="1" x14ac:dyDescent="0.2">
      <c r="A1" t="s">
        <v>0</v>
      </c>
      <c r="B1" t="s">
        <v>653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ht="17.45" customHeight="1" x14ac:dyDescent="0.2">
      <c r="A2" s="1">
        <v>10</v>
      </c>
      <c r="B2" s="1" t="s">
        <v>654</v>
      </c>
      <c r="C2" s="1">
        <v>10</v>
      </c>
      <c r="D2" t="s">
        <v>26</v>
      </c>
      <c r="E2" t="s">
        <v>27</v>
      </c>
      <c r="F2" t="s">
        <v>28</v>
      </c>
      <c r="G2" t="s">
        <v>29</v>
      </c>
      <c r="H2" s="1">
        <v>22</v>
      </c>
      <c r="I2" s="1">
        <v>50026</v>
      </c>
      <c r="J2" s="1">
        <v>1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651</v>
      </c>
      <c r="R2" t="s">
        <v>36</v>
      </c>
      <c r="S2" s="2">
        <f>DATE(2019,5,31)</f>
        <v>43616</v>
      </c>
      <c r="T2" t="s">
        <v>37</v>
      </c>
      <c r="U2" t="s">
        <v>32</v>
      </c>
      <c r="V2" t="s">
        <v>32</v>
      </c>
      <c r="W2" t="s">
        <v>32</v>
      </c>
      <c r="X2" t="s">
        <v>32</v>
      </c>
      <c r="Y2" t="s">
        <v>543</v>
      </c>
      <c r="Z2" t="s">
        <v>544</v>
      </c>
      <c r="AA2" t="s">
        <v>545</v>
      </c>
    </row>
    <row r="3" spans="1:27" ht="17.45" customHeight="1" x14ac:dyDescent="0.2">
      <c r="A3" s="1">
        <v>10</v>
      </c>
      <c r="B3" s="1" t="s">
        <v>654</v>
      </c>
      <c r="C3" s="1">
        <v>10</v>
      </c>
      <c r="D3" t="s">
        <v>38</v>
      </c>
      <c r="E3" t="s">
        <v>39</v>
      </c>
      <c r="F3" t="s">
        <v>40</v>
      </c>
      <c r="G3" t="s">
        <v>41</v>
      </c>
      <c r="H3" s="1">
        <v>22</v>
      </c>
      <c r="I3" s="1">
        <v>51001</v>
      </c>
      <c r="J3" s="1">
        <v>1</v>
      </c>
      <c r="K3" t="s">
        <v>42</v>
      </c>
      <c r="L3" t="s">
        <v>43</v>
      </c>
      <c r="M3" t="s">
        <v>32</v>
      </c>
      <c r="N3" t="s">
        <v>44</v>
      </c>
      <c r="O3" t="s">
        <v>34</v>
      </c>
      <c r="P3" t="s">
        <v>35</v>
      </c>
      <c r="Q3" t="s">
        <v>651</v>
      </c>
      <c r="R3" t="s">
        <v>36</v>
      </c>
      <c r="S3" s="2">
        <f>DATE(2017,4,1)</f>
        <v>42826</v>
      </c>
      <c r="T3" t="s">
        <v>37</v>
      </c>
      <c r="U3" t="s">
        <v>45</v>
      </c>
      <c r="V3" t="s">
        <v>46</v>
      </c>
      <c r="X3" t="s">
        <v>47</v>
      </c>
      <c r="Y3" t="s">
        <v>546</v>
      </c>
      <c r="Z3" t="s">
        <v>32</v>
      </c>
      <c r="AA3" t="s">
        <v>32</v>
      </c>
    </row>
    <row r="4" spans="1:27" ht="17.45" customHeight="1" x14ac:dyDescent="0.2">
      <c r="A4" s="1">
        <v>10</v>
      </c>
      <c r="B4" s="1" t="s">
        <v>654</v>
      </c>
      <c r="C4" s="1">
        <v>10</v>
      </c>
      <c r="D4" t="s">
        <v>48</v>
      </c>
      <c r="E4" t="s">
        <v>49</v>
      </c>
      <c r="F4" t="s">
        <v>50</v>
      </c>
      <c r="G4" t="s">
        <v>51</v>
      </c>
      <c r="H4" s="1">
        <v>23</v>
      </c>
      <c r="I4" s="1">
        <v>11006</v>
      </c>
      <c r="J4" s="1">
        <v>1</v>
      </c>
      <c r="K4" t="s">
        <v>52</v>
      </c>
      <c r="L4" t="s">
        <v>53</v>
      </c>
      <c r="M4" t="s">
        <v>32</v>
      </c>
      <c r="N4" t="s">
        <v>54</v>
      </c>
      <c r="O4" t="s">
        <v>34</v>
      </c>
      <c r="P4" t="s">
        <v>35</v>
      </c>
      <c r="Q4" t="s">
        <v>651</v>
      </c>
      <c r="R4" t="s">
        <v>36</v>
      </c>
      <c r="S4" s="2">
        <f>DATE(2017,4,1)</f>
        <v>42826</v>
      </c>
      <c r="T4" t="s">
        <v>55</v>
      </c>
      <c r="U4" t="s">
        <v>56</v>
      </c>
      <c r="V4" t="s">
        <v>57</v>
      </c>
      <c r="X4" t="s">
        <v>58</v>
      </c>
      <c r="Y4" t="s">
        <v>547</v>
      </c>
      <c r="Z4" t="s">
        <v>548</v>
      </c>
      <c r="AA4" t="s">
        <v>549</v>
      </c>
    </row>
    <row r="5" spans="1:27" ht="17.45" customHeight="1" x14ac:dyDescent="0.2">
      <c r="A5" s="1">
        <v>10</v>
      </c>
      <c r="B5" s="1" t="s">
        <v>654</v>
      </c>
      <c r="C5" s="1">
        <v>10</v>
      </c>
      <c r="D5" t="s">
        <v>59</v>
      </c>
      <c r="E5" t="s">
        <v>60</v>
      </c>
      <c r="F5" t="s">
        <v>61</v>
      </c>
      <c r="G5" t="s">
        <v>41</v>
      </c>
      <c r="H5" s="1">
        <v>22</v>
      </c>
      <c r="I5" s="1">
        <v>11043</v>
      </c>
      <c r="J5" s="1">
        <v>1</v>
      </c>
      <c r="K5" t="s">
        <v>62</v>
      </c>
      <c r="L5" t="s">
        <v>63</v>
      </c>
      <c r="M5" t="s">
        <v>64</v>
      </c>
      <c r="N5" t="s">
        <v>33</v>
      </c>
      <c r="O5" t="s">
        <v>34</v>
      </c>
      <c r="P5" t="s">
        <v>35</v>
      </c>
      <c r="Q5" t="s">
        <v>651</v>
      </c>
      <c r="R5" t="s">
        <v>36</v>
      </c>
      <c r="S5" s="2">
        <f>DATE(2017,4,1)</f>
        <v>42826</v>
      </c>
      <c r="T5" t="s">
        <v>55</v>
      </c>
      <c r="U5" t="s">
        <v>65</v>
      </c>
      <c r="V5" t="s">
        <v>66</v>
      </c>
      <c r="W5" t="s">
        <v>67</v>
      </c>
      <c r="X5" t="s">
        <v>68</v>
      </c>
      <c r="Y5" t="s">
        <v>550</v>
      </c>
      <c r="Z5" t="s">
        <v>551</v>
      </c>
      <c r="AA5" t="s">
        <v>32</v>
      </c>
    </row>
    <row r="6" spans="1:27" ht="17.45" customHeight="1" x14ac:dyDescent="0.2">
      <c r="A6" s="1">
        <v>10</v>
      </c>
      <c r="B6" s="1" t="s">
        <v>654</v>
      </c>
      <c r="C6" s="1">
        <v>10</v>
      </c>
      <c r="D6" t="s">
        <v>59</v>
      </c>
      <c r="E6" t="s">
        <v>60</v>
      </c>
      <c r="F6" t="s">
        <v>61</v>
      </c>
      <c r="G6" t="s">
        <v>41</v>
      </c>
      <c r="H6" s="1">
        <v>22</v>
      </c>
      <c r="I6" s="1">
        <v>11044</v>
      </c>
      <c r="J6" s="1">
        <v>1</v>
      </c>
      <c r="K6" t="s">
        <v>69</v>
      </c>
      <c r="L6" t="s">
        <v>70</v>
      </c>
      <c r="M6" t="s">
        <v>71</v>
      </c>
      <c r="N6" t="s">
        <v>33</v>
      </c>
      <c r="O6" t="s">
        <v>34</v>
      </c>
      <c r="P6" t="s">
        <v>35</v>
      </c>
      <c r="Q6" t="s">
        <v>651</v>
      </c>
      <c r="R6" t="s">
        <v>36</v>
      </c>
      <c r="S6" s="2">
        <f>DATE(2017,4,1)</f>
        <v>42826</v>
      </c>
      <c r="T6" t="s">
        <v>55</v>
      </c>
      <c r="U6" t="s">
        <v>72</v>
      </c>
      <c r="X6" t="s">
        <v>73</v>
      </c>
      <c r="Y6" t="s">
        <v>550</v>
      </c>
      <c r="Z6" t="s">
        <v>551</v>
      </c>
      <c r="AA6" t="s">
        <v>32</v>
      </c>
    </row>
    <row r="7" spans="1:27" ht="17.45" customHeight="1" x14ac:dyDescent="0.2">
      <c r="A7" s="1">
        <v>10</v>
      </c>
      <c r="B7" s="1" t="s">
        <v>654</v>
      </c>
      <c r="C7" s="1">
        <v>10</v>
      </c>
      <c r="D7" t="s">
        <v>59</v>
      </c>
      <c r="E7" t="s">
        <v>60</v>
      </c>
      <c r="F7" t="s">
        <v>61</v>
      </c>
      <c r="G7" t="s">
        <v>41</v>
      </c>
      <c r="H7" s="1">
        <v>22</v>
      </c>
      <c r="I7" s="1">
        <v>11045</v>
      </c>
      <c r="J7" s="1">
        <v>1</v>
      </c>
      <c r="K7" t="s">
        <v>74</v>
      </c>
      <c r="L7" t="s">
        <v>75</v>
      </c>
      <c r="M7" t="s">
        <v>76</v>
      </c>
      <c r="N7" t="s">
        <v>33</v>
      </c>
      <c r="O7" t="s">
        <v>34</v>
      </c>
      <c r="P7" t="s">
        <v>35</v>
      </c>
      <c r="Q7" t="s">
        <v>651</v>
      </c>
      <c r="R7" t="s">
        <v>36</v>
      </c>
      <c r="S7" s="2">
        <f>DATE(2017,4,1)</f>
        <v>42826</v>
      </c>
      <c r="T7" t="s">
        <v>55</v>
      </c>
      <c r="U7" t="s">
        <v>72</v>
      </c>
      <c r="X7" t="s">
        <v>77</v>
      </c>
      <c r="Y7" t="s">
        <v>550</v>
      </c>
      <c r="Z7" t="s">
        <v>551</v>
      </c>
      <c r="AA7" t="s">
        <v>32</v>
      </c>
    </row>
    <row r="8" spans="1:27" ht="17.45" customHeight="1" x14ac:dyDescent="0.2">
      <c r="A8" s="1">
        <v>10</v>
      </c>
      <c r="B8" s="1" t="s">
        <v>654</v>
      </c>
      <c r="C8" s="1">
        <v>10</v>
      </c>
      <c r="D8" t="s">
        <v>59</v>
      </c>
      <c r="E8" t="s">
        <v>60</v>
      </c>
      <c r="F8" t="s">
        <v>61</v>
      </c>
      <c r="G8" t="s">
        <v>41</v>
      </c>
      <c r="H8" s="1">
        <v>22</v>
      </c>
      <c r="I8" s="1">
        <v>54057</v>
      </c>
      <c r="J8" s="1">
        <v>1</v>
      </c>
      <c r="K8" t="s">
        <v>78</v>
      </c>
      <c r="L8" t="s">
        <v>79</v>
      </c>
      <c r="M8" t="s">
        <v>80</v>
      </c>
      <c r="N8" t="s">
        <v>33</v>
      </c>
      <c r="O8" t="s">
        <v>81</v>
      </c>
      <c r="P8" t="s">
        <v>35</v>
      </c>
      <c r="Q8" t="s">
        <v>651</v>
      </c>
      <c r="R8" t="s">
        <v>36</v>
      </c>
      <c r="S8" s="2">
        <f>DATE(2023,7,21)</f>
        <v>45128</v>
      </c>
      <c r="T8" t="s">
        <v>55</v>
      </c>
      <c r="U8" t="s">
        <v>82</v>
      </c>
      <c r="X8" t="s">
        <v>68</v>
      </c>
      <c r="Y8" t="s">
        <v>550</v>
      </c>
      <c r="Z8" t="s">
        <v>551</v>
      </c>
      <c r="AA8" t="s">
        <v>32</v>
      </c>
    </row>
    <row r="9" spans="1:27" ht="17.45" customHeight="1" x14ac:dyDescent="0.2">
      <c r="A9" s="1">
        <v>10</v>
      </c>
      <c r="B9" s="1" t="s">
        <v>654</v>
      </c>
      <c r="C9" s="1">
        <v>10</v>
      </c>
      <c r="D9" t="s">
        <v>83</v>
      </c>
      <c r="E9" t="s">
        <v>84</v>
      </c>
      <c r="F9" t="s">
        <v>85</v>
      </c>
      <c r="G9" t="s">
        <v>41</v>
      </c>
      <c r="H9" s="1">
        <v>22</v>
      </c>
      <c r="I9" s="1">
        <v>10114</v>
      </c>
      <c r="J9" s="1">
        <v>1</v>
      </c>
      <c r="K9" t="s">
        <v>86</v>
      </c>
      <c r="L9" t="s">
        <v>32</v>
      </c>
      <c r="M9" t="s">
        <v>32</v>
      </c>
      <c r="N9" t="s">
        <v>87</v>
      </c>
      <c r="O9" t="s">
        <v>34</v>
      </c>
      <c r="P9" t="s">
        <v>35</v>
      </c>
      <c r="Q9" t="s">
        <v>651</v>
      </c>
      <c r="R9" t="s">
        <v>36</v>
      </c>
      <c r="S9" s="2">
        <f>DATE(2023,1,30)</f>
        <v>44956</v>
      </c>
      <c r="T9" t="s">
        <v>37</v>
      </c>
      <c r="U9" t="s">
        <v>32</v>
      </c>
      <c r="V9" t="s">
        <v>32</v>
      </c>
      <c r="W9" t="s">
        <v>32</v>
      </c>
      <c r="X9" t="s">
        <v>88</v>
      </c>
      <c r="Y9" t="s">
        <v>552</v>
      </c>
      <c r="Z9" t="s">
        <v>553</v>
      </c>
      <c r="AA9" t="s">
        <v>554</v>
      </c>
    </row>
    <row r="10" spans="1:27" ht="17.45" customHeight="1" x14ac:dyDescent="0.2">
      <c r="A10" s="1">
        <v>10</v>
      </c>
      <c r="B10" s="1" t="s">
        <v>654</v>
      </c>
      <c r="C10" s="1">
        <v>10</v>
      </c>
      <c r="D10" t="s">
        <v>83</v>
      </c>
      <c r="E10" t="s">
        <v>84</v>
      </c>
      <c r="F10" t="s">
        <v>85</v>
      </c>
      <c r="G10" t="s">
        <v>41</v>
      </c>
      <c r="H10" s="1">
        <v>22</v>
      </c>
      <c r="I10" s="1">
        <v>10115</v>
      </c>
      <c r="J10" s="1">
        <v>1</v>
      </c>
      <c r="K10" t="s">
        <v>89</v>
      </c>
      <c r="L10" t="s">
        <v>90</v>
      </c>
      <c r="M10" t="s">
        <v>32</v>
      </c>
      <c r="N10" t="s">
        <v>91</v>
      </c>
      <c r="O10" t="s">
        <v>34</v>
      </c>
      <c r="P10" t="s">
        <v>35</v>
      </c>
      <c r="Q10" t="s">
        <v>651</v>
      </c>
      <c r="R10" t="s">
        <v>36</v>
      </c>
      <c r="S10" s="2">
        <f>DATE(2023,4,10)</f>
        <v>45026</v>
      </c>
      <c r="T10" t="s">
        <v>37</v>
      </c>
      <c r="U10" t="s">
        <v>32</v>
      </c>
      <c r="V10" t="s">
        <v>32</v>
      </c>
      <c r="W10" t="s">
        <v>32</v>
      </c>
      <c r="X10" t="s">
        <v>92</v>
      </c>
      <c r="Y10" t="s">
        <v>554</v>
      </c>
      <c r="Z10" t="s">
        <v>553</v>
      </c>
      <c r="AA10" t="s">
        <v>552</v>
      </c>
    </row>
    <row r="11" spans="1:27" ht="17.45" customHeight="1" x14ac:dyDescent="0.2">
      <c r="A11" s="1">
        <v>10</v>
      </c>
      <c r="B11" s="1" t="s">
        <v>654</v>
      </c>
      <c r="C11" s="1">
        <v>10</v>
      </c>
      <c r="D11" t="s">
        <v>83</v>
      </c>
      <c r="E11" t="s">
        <v>84</v>
      </c>
      <c r="F11" t="s">
        <v>85</v>
      </c>
      <c r="G11" t="s">
        <v>41</v>
      </c>
      <c r="H11" s="1">
        <v>22</v>
      </c>
      <c r="I11" s="1">
        <v>50007</v>
      </c>
      <c r="J11" s="1">
        <v>1</v>
      </c>
      <c r="K11" t="s">
        <v>93</v>
      </c>
      <c r="L11" t="s">
        <v>94</v>
      </c>
      <c r="M11" t="s">
        <v>95</v>
      </c>
      <c r="N11" t="s">
        <v>91</v>
      </c>
      <c r="O11" t="s">
        <v>34</v>
      </c>
      <c r="P11" t="s">
        <v>35</v>
      </c>
      <c r="Q11" t="s">
        <v>651</v>
      </c>
      <c r="R11" t="s">
        <v>36</v>
      </c>
      <c r="S11" s="2">
        <f>DATE(2017,4,1)</f>
        <v>42826</v>
      </c>
      <c r="T11" t="s">
        <v>37</v>
      </c>
      <c r="U11" t="s">
        <v>96</v>
      </c>
      <c r="V11" t="s">
        <v>97</v>
      </c>
      <c r="X11" t="s">
        <v>92</v>
      </c>
      <c r="Y11" t="s">
        <v>552</v>
      </c>
      <c r="Z11" t="s">
        <v>553</v>
      </c>
      <c r="AA11" t="s">
        <v>554</v>
      </c>
    </row>
    <row r="12" spans="1:27" ht="17.45" customHeight="1" x14ac:dyDescent="0.2">
      <c r="A12" s="1">
        <v>10</v>
      </c>
      <c r="B12" s="1" t="s">
        <v>654</v>
      </c>
      <c r="C12" s="1">
        <v>10</v>
      </c>
      <c r="D12" t="s">
        <v>83</v>
      </c>
      <c r="E12" t="s">
        <v>84</v>
      </c>
      <c r="F12" t="s">
        <v>85</v>
      </c>
      <c r="G12" t="s">
        <v>41</v>
      </c>
      <c r="H12" s="1">
        <v>22</v>
      </c>
      <c r="I12" s="1">
        <v>50076</v>
      </c>
      <c r="J12" s="1">
        <v>1</v>
      </c>
      <c r="K12" t="s">
        <v>98</v>
      </c>
      <c r="L12" t="s">
        <v>99</v>
      </c>
      <c r="M12" t="s">
        <v>32</v>
      </c>
      <c r="N12" t="s">
        <v>91</v>
      </c>
      <c r="O12" t="s">
        <v>34</v>
      </c>
      <c r="P12" t="s">
        <v>35</v>
      </c>
      <c r="Q12" t="s">
        <v>651</v>
      </c>
      <c r="R12" t="s">
        <v>36</v>
      </c>
      <c r="S12" s="2">
        <f>DATE(2021,9,6)</f>
        <v>44445</v>
      </c>
      <c r="T12" t="s">
        <v>37</v>
      </c>
      <c r="U12" t="s">
        <v>100</v>
      </c>
      <c r="X12" t="s">
        <v>92</v>
      </c>
      <c r="Y12" t="s">
        <v>554</v>
      </c>
      <c r="Z12" t="s">
        <v>553</v>
      </c>
      <c r="AA12" t="s">
        <v>552</v>
      </c>
    </row>
    <row r="13" spans="1:27" ht="17.45" customHeight="1" x14ac:dyDescent="0.2">
      <c r="A13" s="1">
        <v>10</v>
      </c>
      <c r="B13" s="1" t="s">
        <v>654</v>
      </c>
      <c r="C13" s="1">
        <v>10</v>
      </c>
      <c r="D13" t="s">
        <v>83</v>
      </c>
      <c r="E13" t="s">
        <v>84</v>
      </c>
      <c r="F13" t="s">
        <v>85</v>
      </c>
      <c r="G13" t="s">
        <v>41</v>
      </c>
      <c r="H13" s="1">
        <v>22</v>
      </c>
      <c r="I13" s="1">
        <v>50098</v>
      </c>
      <c r="J13" s="1">
        <v>1</v>
      </c>
      <c r="K13" t="s">
        <v>101</v>
      </c>
      <c r="L13" t="s">
        <v>102</v>
      </c>
      <c r="M13" t="s">
        <v>103</v>
      </c>
      <c r="N13" t="s">
        <v>87</v>
      </c>
      <c r="O13" t="s">
        <v>34</v>
      </c>
      <c r="P13" t="s">
        <v>35</v>
      </c>
      <c r="Q13" t="s">
        <v>651</v>
      </c>
      <c r="R13" t="s">
        <v>36</v>
      </c>
      <c r="S13" s="2">
        <f>DATE(2024,7,11)</f>
        <v>45484</v>
      </c>
      <c r="T13" t="s">
        <v>37</v>
      </c>
      <c r="U13" t="s">
        <v>104</v>
      </c>
      <c r="X13" t="s">
        <v>92</v>
      </c>
      <c r="Y13" t="s">
        <v>555</v>
      </c>
      <c r="Z13" t="s">
        <v>553</v>
      </c>
      <c r="AA13" t="s">
        <v>552</v>
      </c>
    </row>
    <row r="14" spans="1:27" ht="17.45" customHeight="1" x14ac:dyDescent="0.2">
      <c r="A14" s="1">
        <v>10</v>
      </c>
      <c r="B14" s="1" t="s">
        <v>654</v>
      </c>
      <c r="C14" s="1">
        <v>10</v>
      </c>
      <c r="D14" t="s">
        <v>105</v>
      </c>
      <c r="E14" t="s">
        <v>106</v>
      </c>
      <c r="F14" t="s">
        <v>107</v>
      </c>
      <c r="G14" t="s">
        <v>29</v>
      </c>
      <c r="H14" s="1">
        <v>22</v>
      </c>
      <c r="I14" s="1">
        <v>51027</v>
      </c>
      <c r="J14" s="1">
        <v>1</v>
      </c>
      <c r="K14" t="s">
        <v>108</v>
      </c>
      <c r="L14" t="s">
        <v>109</v>
      </c>
      <c r="M14" t="s">
        <v>32</v>
      </c>
      <c r="N14" t="s">
        <v>33</v>
      </c>
      <c r="O14" t="s">
        <v>81</v>
      </c>
      <c r="P14" t="s">
        <v>35</v>
      </c>
      <c r="Q14" t="s">
        <v>652</v>
      </c>
      <c r="R14" t="s">
        <v>36</v>
      </c>
      <c r="S14" s="2">
        <f>DATE(2018,9,19)</f>
        <v>43362</v>
      </c>
      <c r="T14" t="s">
        <v>37</v>
      </c>
      <c r="U14" t="s">
        <v>110</v>
      </c>
      <c r="X14" t="s">
        <v>111</v>
      </c>
      <c r="Y14" t="s">
        <v>556</v>
      </c>
      <c r="Z14" t="s">
        <v>32</v>
      </c>
      <c r="AA14" t="s">
        <v>32</v>
      </c>
    </row>
    <row r="15" spans="1:27" ht="17.45" customHeight="1" x14ac:dyDescent="0.2">
      <c r="A15" s="1">
        <v>10</v>
      </c>
      <c r="B15" s="1" t="s">
        <v>654</v>
      </c>
      <c r="C15" s="1">
        <v>10</v>
      </c>
      <c r="D15" t="s">
        <v>112</v>
      </c>
      <c r="E15" t="s">
        <v>113</v>
      </c>
      <c r="F15" t="s">
        <v>28</v>
      </c>
      <c r="G15" t="s">
        <v>29</v>
      </c>
      <c r="H15" s="1">
        <v>22</v>
      </c>
      <c r="I15" s="1">
        <v>57026</v>
      </c>
      <c r="J15" s="1">
        <v>1</v>
      </c>
      <c r="K15" t="s">
        <v>114</v>
      </c>
      <c r="L15" t="s">
        <v>115</v>
      </c>
      <c r="M15" t="s">
        <v>32</v>
      </c>
      <c r="N15" t="s">
        <v>116</v>
      </c>
      <c r="O15" t="s">
        <v>34</v>
      </c>
      <c r="P15" t="s">
        <v>35</v>
      </c>
      <c r="Q15" t="s">
        <v>651</v>
      </c>
      <c r="R15" t="s">
        <v>36</v>
      </c>
      <c r="S15" s="2">
        <f>DATE(2025,2,4)</f>
        <v>45692</v>
      </c>
      <c r="T15" t="s">
        <v>37</v>
      </c>
      <c r="U15" t="s">
        <v>117</v>
      </c>
      <c r="V15" t="s">
        <v>32</v>
      </c>
      <c r="W15" t="s">
        <v>32</v>
      </c>
      <c r="X15" t="s">
        <v>118</v>
      </c>
      <c r="Y15" t="s">
        <v>557</v>
      </c>
      <c r="Z15" t="s">
        <v>543</v>
      </c>
      <c r="AA15" t="s">
        <v>32</v>
      </c>
    </row>
    <row r="16" spans="1:27" ht="17.45" customHeight="1" x14ac:dyDescent="0.2">
      <c r="A16" s="1">
        <v>30</v>
      </c>
      <c r="B16" s="1" t="s">
        <v>655</v>
      </c>
      <c r="C16" s="1">
        <v>30</v>
      </c>
      <c r="D16" t="s">
        <v>119</v>
      </c>
      <c r="E16" t="s">
        <v>120</v>
      </c>
      <c r="F16" t="s">
        <v>121</v>
      </c>
      <c r="G16" t="s">
        <v>29</v>
      </c>
      <c r="H16" s="1">
        <v>4</v>
      </c>
      <c r="I16" s="1">
        <v>10017</v>
      </c>
      <c r="J16" s="1">
        <v>1</v>
      </c>
      <c r="K16" t="s">
        <v>122</v>
      </c>
      <c r="L16" t="s">
        <v>123</v>
      </c>
      <c r="M16" t="s">
        <v>32</v>
      </c>
      <c r="N16" t="s">
        <v>124</v>
      </c>
      <c r="O16" t="s">
        <v>34</v>
      </c>
      <c r="P16" t="s">
        <v>35</v>
      </c>
      <c r="Q16" t="s">
        <v>651</v>
      </c>
      <c r="R16" t="s">
        <v>36</v>
      </c>
      <c r="S16" s="2">
        <f>DATE(2017,4,1)</f>
        <v>42826</v>
      </c>
      <c r="T16" t="s">
        <v>125</v>
      </c>
      <c r="U16" t="s">
        <v>126</v>
      </c>
      <c r="X16" t="s">
        <v>127</v>
      </c>
      <c r="Y16" t="s">
        <v>558</v>
      </c>
      <c r="Z16" t="s">
        <v>559</v>
      </c>
      <c r="AA16" t="s">
        <v>560</v>
      </c>
    </row>
    <row r="17" spans="1:27" ht="17.45" customHeight="1" x14ac:dyDescent="0.2">
      <c r="A17" s="1">
        <v>50</v>
      </c>
      <c r="B17" s="1" t="s">
        <v>656</v>
      </c>
      <c r="C17" s="1">
        <v>50</v>
      </c>
      <c r="D17" t="s">
        <v>128</v>
      </c>
      <c r="E17" t="s">
        <v>129</v>
      </c>
      <c r="F17" t="s">
        <v>130</v>
      </c>
      <c r="G17" t="s">
        <v>131</v>
      </c>
      <c r="H17" s="1">
        <v>21</v>
      </c>
      <c r="I17" s="1">
        <v>50103</v>
      </c>
      <c r="J17" s="1">
        <v>1</v>
      </c>
      <c r="K17" t="s">
        <v>132</v>
      </c>
      <c r="L17" t="s">
        <v>133</v>
      </c>
      <c r="M17" t="s">
        <v>32</v>
      </c>
      <c r="N17" t="s">
        <v>33</v>
      </c>
      <c r="O17" t="s">
        <v>34</v>
      </c>
      <c r="P17" t="s">
        <v>35</v>
      </c>
      <c r="Q17" t="s">
        <v>651</v>
      </c>
      <c r="R17" t="s">
        <v>134</v>
      </c>
      <c r="S17" s="2">
        <f>DATE(2025,10,21)</f>
        <v>45951</v>
      </c>
      <c r="T17" t="s">
        <v>125</v>
      </c>
      <c r="U17" t="s">
        <v>135</v>
      </c>
      <c r="X17" t="s">
        <v>136</v>
      </c>
      <c r="Y17" t="s">
        <v>561</v>
      </c>
      <c r="Z17" t="s">
        <v>562</v>
      </c>
      <c r="AA17" t="s">
        <v>563</v>
      </c>
    </row>
    <row r="18" spans="1:27" ht="17.45" customHeight="1" x14ac:dyDescent="0.2">
      <c r="A18" s="1">
        <v>50</v>
      </c>
      <c r="B18" s="1" t="s">
        <v>656</v>
      </c>
      <c r="C18" s="1">
        <v>50</v>
      </c>
      <c r="D18" t="s">
        <v>137</v>
      </c>
      <c r="E18" t="s">
        <v>138</v>
      </c>
      <c r="F18" t="s">
        <v>139</v>
      </c>
      <c r="G18" t="s">
        <v>41</v>
      </c>
      <c r="H18" s="1">
        <v>20</v>
      </c>
      <c r="I18" s="1">
        <v>51011</v>
      </c>
      <c r="J18" s="1">
        <v>1</v>
      </c>
      <c r="K18" t="s">
        <v>140</v>
      </c>
      <c r="L18" t="s">
        <v>141</v>
      </c>
      <c r="M18" t="s">
        <v>32</v>
      </c>
      <c r="N18" t="s">
        <v>142</v>
      </c>
      <c r="O18" t="s">
        <v>34</v>
      </c>
      <c r="P18" t="s">
        <v>35</v>
      </c>
      <c r="Q18" t="s">
        <v>651</v>
      </c>
      <c r="R18" t="s">
        <v>36</v>
      </c>
      <c r="S18" s="2">
        <f>DATE(2017,4,1)</f>
        <v>42826</v>
      </c>
      <c r="T18" t="s">
        <v>143</v>
      </c>
      <c r="U18" t="s">
        <v>144</v>
      </c>
      <c r="V18" t="s">
        <v>145</v>
      </c>
      <c r="X18" t="s">
        <v>146</v>
      </c>
      <c r="Y18" t="s">
        <v>564</v>
      </c>
      <c r="Z18" t="s">
        <v>565</v>
      </c>
      <c r="AA18" t="s">
        <v>32</v>
      </c>
    </row>
    <row r="19" spans="1:27" ht="17.45" customHeight="1" x14ac:dyDescent="0.2">
      <c r="A19" s="1">
        <v>50</v>
      </c>
      <c r="B19" s="1" t="s">
        <v>656</v>
      </c>
      <c r="C19" s="1">
        <v>50</v>
      </c>
      <c r="D19" t="s">
        <v>147</v>
      </c>
      <c r="E19" t="s">
        <v>148</v>
      </c>
      <c r="F19" t="s">
        <v>149</v>
      </c>
      <c r="G19" t="s">
        <v>131</v>
      </c>
      <c r="H19" s="1">
        <v>22</v>
      </c>
      <c r="I19" s="1">
        <v>50042</v>
      </c>
      <c r="J19" s="1">
        <v>1</v>
      </c>
      <c r="K19" t="s">
        <v>150</v>
      </c>
      <c r="L19" t="s">
        <v>151</v>
      </c>
      <c r="M19" t="s">
        <v>32</v>
      </c>
      <c r="N19" t="s">
        <v>152</v>
      </c>
      <c r="O19" t="s">
        <v>34</v>
      </c>
      <c r="P19" t="s">
        <v>35</v>
      </c>
      <c r="Q19" t="s">
        <v>652</v>
      </c>
      <c r="R19" t="s">
        <v>134</v>
      </c>
      <c r="S19" s="2">
        <f>DATE(2020,2,12)</f>
        <v>43873</v>
      </c>
      <c r="T19" t="s">
        <v>153</v>
      </c>
      <c r="U19" t="s">
        <v>154</v>
      </c>
      <c r="V19" t="s">
        <v>155</v>
      </c>
      <c r="X19" t="s">
        <v>156</v>
      </c>
      <c r="Y19" t="s">
        <v>566</v>
      </c>
      <c r="Z19" t="s">
        <v>32</v>
      </c>
      <c r="AA19" t="s">
        <v>32</v>
      </c>
    </row>
    <row r="20" spans="1:27" ht="17.45" customHeight="1" x14ac:dyDescent="0.2">
      <c r="A20" s="1">
        <v>50</v>
      </c>
      <c r="B20" s="1" t="s">
        <v>656</v>
      </c>
      <c r="C20" s="1">
        <v>50</v>
      </c>
      <c r="D20" t="s">
        <v>157</v>
      </c>
      <c r="E20" t="s">
        <v>158</v>
      </c>
      <c r="F20" t="s">
        <v>159</v>
      </c>
      <c r="G20" t="s">
        <v>160</v>
      </c>
      <c r="H20" s="1">
        <v>20</v>
      </c>
      <c r="I20" s="1">
        <v>50030</v>
      </c>
      <c r="J20" s="1">
        <v>1</v>
      </c>
      <c r="K20" t="s">
        <v>161</v>
      </c>
      <c r="L20" t="s">
        <v>162</v>
      </c>
      <c r="M20" t="s">
        <v>163</v>
      </c>
      <c r="N20" t="s">
        <v>33</v>
      </c>
      <c r="O20" t="s">
        <v>81</v>
      </c>
      <c r="P20" t="s">
        <v>35</v>
      </c>
      <c r="Q20" t="s">
        <v>651</v>
      </c>
      <c r="R20" t="s">
        <v>36</v>
      </c>
      <c r="S20" s="2">
        <f>DATE(2019,11,21)</f>
        <v>43790</v>
      </c>
      <c r="T20" t="s">
        <v>143</v>
      </c>
      <c r="U20" t="s">
        <v>164</v>
      </c>
      <c r="V20" t="s">
        <v>165</v>
      </c>
      <c r="W20" t="s">
        <v>166</v>
      </c>
      <c r="X20" t="s">
        <v>167</v>
      </c>
      <c r="Y20" t="s">
        <v>567</v>
      </c>
      <c r="Z20" t="s">
        <v>568</v>
      </c>
      <c r="AA20" t="s">
        <v>32</v>
      </c>
    </row>
    <row r="21" spans="1:27" ht="17.45" customHeight="1" x14ac:dyDescent="0.2">
      <c r="A21" s="1">
        <v>50</v>
      </c>
      <c r="B21" s="1" t="s">
        <v>656</v>
      </c>
      <c r="C21" s="1">
        <v>50</v>
      </c>
      <c r="D21" t="s">
        <v>168</v>
      </c>
      <c r="E21" t="s">
        <v>169</v>
      </c>
      <c r="F21" t="s">
        <v>170</v>
      </c>
      <c r="G21" t="s">
        <v>131</v>
      </c>
      <c r="H21" s="1">
        <v>21</v>
      </c>
      <c r="I21" s="1">
        <v>50089</v>
      </c>
      <c r="J21" s="1">
        <v>1</v>
      </c>
      <c r="K21" t="s">
        <v>171</v>
      </c>
      <c r="L21" t="s">
        <v>172</v>
      </c>
      <c r="M21" t="s">
        <v>173</v>
      </c>
      <c r="N21" t="s">
        <v>33</v>
      </c>
      <c r="O21" t="s">
        <v>34</v>
      </c>
      <c r="P21" t="s">
        <v>35</v>
      </c>
      <c r="Q21" t="s">
        <v>652</v>
      </c>
      <c r="R21" t="s">
        <v>134</v>
      </c>
      <c r="S21" s="2">
        <f>DATE(2022,11,25)</f>
        <v>44890</v>
      </c>
      <c r="T21" t="s">
        <v>174</v>
      </c>
      <c r="U21" t="s">
        <v>32</v>
      </c>
      <c r="V21" t="s">
        <v>32</v>
      </c>
      <c r="W21" t="s">
        <v>32</v>
      </c>
      <c r="X21" t="s">
        <v>175</v>
      </c>
      <c r="Y21" t="s">
        <v>569</v>
      </c>
      <c r="Z21" t="s">
        <v>32</v>
      </c>
      <c r="AA21" t="s">
        <v>32</v>
      </c>
    </row>
    <row r="22" spans="1:27" ht="17.45" customHeight="1" x14ac:dyDescent="0.2">
      <c r="A22" s="1">
        <v>50</v>
      </c>
      <c r="B22" s="1" t="s">
        <v>656</v>
      </c>
      <c r="C22" s="1">
        <v>50</v>
      </c>
      <c r="D22" t="s">
        <v>176</v>
      </c>
      <c r="E22" t="s">
        <v>177</v>
      </c>
      <c r="F22" t="s">
        <v>178</v>
      </c>
      <c r="G22" t="s">
        <v>41</v>
      </c>
      <c r="H22" s="1">
        <v>26</v>
      </c>
      <c r="I22" s="1">
        <v>50056</v>
      </c>
      <c r="J22" s="1">
        <v>1</v>
      </c>
      <c r="K22" t="s">
        <v>179</v>
      </c>
      <c r="L22" t="s">
        <v>180</v>
      </c>
      <c r="M22" t="s">
        <v>181</v>
      </c>
      <c r="N22" t="s">
        <v>44</v>
      </c>
      <c r="O22" t="s">
        <v>34</v>
      </c>
      <c r="P22" t="s">
        <v>35</v>
      </c>
      <c r="Q22" t="s">
        <v>651</v>
      </c>
      <c r="R22" t="s">
        <v>36</v>
      </c>
      <c r="S22" s="2">
        <f>DATE(2020,3,19)</f>
        <v>43909</v>
      </c>
      <c r="T22" t="s">
        <v>174</v>
      </c>
      <c r="U22" t="s">
        <v>182</v>
      </c>
      <c r="V22" t="s">
        <v>183</v>
      </c>
      <c r="W22" t="s">
        <v>32</v>
      </c>
      <c r="X22" t="s">
        <v>184</v>
      </c>
      <c r="Y22" t="s">
        <v>570</v>
      </c>
      <c r="Z22" t="s">
        <v>32</v>
      </c>
      <c r="AA22" t="s">
        <v>32</v>
      </c>
    </row>
    <row r="23" spans="1:27" ht="17.45" customHeight="1" x14ac:dyDescent="0.2">
      <c r="A23" s="1">
        <v>50</v>
      </c>
      <c r="B23" s="1" t="s">
        <v>656</v>
      </c>
      <c r="C23" s="1">
        <v>50</v>
      </c>
      <c r="D23" t="s">
        <v>185</v>
      </c>
      <c r="E23" t="s">
        <v>186</v>
      </c>
      <c r="F23" t="s">
        <v>187</v>
      </c>
      <c r="G23" t="s">
        <v>41</v>
      </c>
      <c r="H23" s="1">
        <v>26</v>
      </c>
      <c r="I23" s="1">
        <v>50070</v>
      </c>
      <c r="J23" s="1">
        <v>1</v>
      </c>
      <c r="K23" t="s">
        <v>188</v>
      </c>
      <c r="L23" t="s">
        <v>189</v>
      </c>
      <c r="M23" t="s">
        <v>32</v>
      </c>
      <c r="N23" t="s">
        <v>33</v>
      </c>
      <c r="O23" t="s">
        <v>81</v>
      </c>
      <c r="P23" t="s">
        <v>35</v>
      </c>
      <c r="Q23" t="s">
        <v>651</v>
      </c>
      <c r="R23" t="s">
        <v>36</v>
      </c>
      <c r="S23" s="2">
        <f>DATE(2020,11,3)</f>
        <v>44138</v>
      </c>
      <c r="T23" t="s">
        <v>143</v>
      </c>
      <c r="U23" t="s">
        <v>190</v>
      </c>
      <c r="V23" t="s">
        <v>191</v>
      </c>
      <c r="W23" t="s">
        <v>192</v>
      </c>
      <c r="X23" t="s">
        <v>193</v>
      </c>
      <c r="Y23" t="s">
        <v>571</v>
      </c>
      <c r="Z23" t="s">
        <v>572</v>
      </c>
      <c r="AA23" t="s">
        <v>573</v>
      </c>
    </row>
    <row r="24" spans="1:27" ht="17.45" customHeight="1" x14ac:dyDescent="0.2">
      <c r="A24" s="1">
        <v>50</v>
      </c>
      <c r="B24" s="1" t="s">
        <v>656</v>
      </c>
      <c r="C24" s="1">
        <v>50</v>
      </c>
      <c r="D24" t="s">
        <v>194</v>
      </c>
      <c r="E24" t="s">
        <v>195</v>
      </c>
      <c r="F24" t="s">
        <v>196</v>
      </c>
      <c r="G24" t="s">
        <v>41</v>
      </c>
      <c r="H24" s="1">
        <v>20</v>
      </c>
      <c r="I24" s="1">
        <v>50038</v>
      </c>
      <c r="J24" s="1">
        <v>1</v>
      </c>
      <c r="K24" t="s">
        <v>197</v>
      </c>
      <c r="L24" t="s">
        <v>198</v>
      </c>
      <c r="M24" t="s">
        <v>199</v>
      </c>
      <c r="N24" t="s">
        <v>33</v>
      </c>
      <c r="O24" t="s">
        <v>81</v>
      </c>
      <c r="P24" t="s">
        <v>35</v>
      </c>
      <c r="Q24" t="s">
        <v>651</v>
      </c>
      <c r="R24" t="s">
        <v>36</v>
      </c>
      <c r="S24" s="2">
        <f>DATE(2019,12,9)</f>
        <v>43808</v>
      </c>
      <c r="T24" t="s">
        <v>143</v>
      </c>
      <c r="U24" t="s">
        <v>200</v>
      </c>
      <c r="V24" t="s">
        <v>201</v>
      </c>
      <c r="W24" t="s">
        <v>32</v>
      </c>
      <c r="X24" t="s">
        <v>202</v>
      </c>
      <c r="Y24" t="s">
        <v>574</v>
      </c>
      <c r="Z24" t="s">
        <v>575</v>
      </c>
      <c r="AA24" t="s">
        <v>32</v>
      </c>
    </row>
    <row r="25" spans="1:27" ht="17.45" customHeight="1" x14ac:dyDescent="0.2">
      <c r="A25" s="1">
        <v>50</v>
      </c>
      <c r="B25" s="1" t="s">
        <v>656</v>
      </c>
      <c r="C25" s="1">
        <v>50</v>
      </c>
      <c r="D25" t="s">
        <v>203</v>
      </c>
      <c r="E25" t="s">
        <v>204</v>
      </c>
      <c r="F25" t="s">
        <v>205</v>
      </c>
      <c r="G25" t="s">
        <v>160</v>
      </c>
      <c r="H25" s="1">
        <v>21</v>
      </c>
      <c r="I25" s="1">
        <v>50085</v>
      </c>
      <c r="J25" s="1">
        <v>1</v>
      </c>
      <c r="K25" t="s">
        <v>206</v>
      </c>
      <c r="L25" t="s">
        <v>207</v>
      </c>
      <c r="M25" t="s">
        <v>208</v>
      </c>
      <c r="N25" t="s">
        <v>33</v>
      </c>
      <c r="O25" t="s">
        <v>81</v>
      </c>
      <c r="P25" t="s">
        <v>35</v>
      </c>
      <c r="Q25" t="s">
        <v>652</v>
      </c>
      <c r="R25" t="s">
        <v>36</v>
      </c>
      <c r="S25" s="2">
        <f>DATE(2021,12,3)</f>
        <v>44533</v>
      </c>
      <c r="T25" t="s">
        <v>143</v>
      </c>
      <c r="U25" t="s">
        <v>209</v>
      </c>
      <c r="X25" t="s">
        <v>210</v>
      </c>
      <c r="Y25" t="s">
        <v>576</v>
      </c>
      <c r="Z25" t="s">
        <v>32</v>
      </c>
      <c r="AA25" t="s">
        <v>32</v>
      </c>
    </row>
    <row r="26" spans="1:27" ht="17.45" customHeight="1" x14ac:dyDescent="0.2">
      <c r="A26" s="1">
        <v>50</v>
      </c>
      <c r="B26" s="1" t="s">
        <v>656</v>
      </c>
      <c r="C26" s="1">
        <v>50</v>
      </c>
      <c r="D26" t="s">
        <v>211</v>
      </c>
      <c r="E26" t="s">
        <v>212</v>
      </c>
      <c r="F26" t="s">
        <v>213</v>
      </c>
      <c r="G26" t="s">
        <v>41</v>
      </c>
      <c r="H26" s="1">
        <v>20</v>
      </c>
      <c r="I26" s="1">
        <v>50036</v>
      </c>
      <c r="J26" s="1">
        <v>1</v>
      </c>
      <c r="K26" t="s">
        <v>214</v>
      </c>
      <c r="L26" t="s">
        <v>215</v>
      </c>
      <c r="M26" t="s">
        <v>216</v>
      </c>
      <c r="N26" t="s">
        <v>33</v>
      </c>
      <c r="O26" t="s">
        <v>81</v>
      </c>
      <c r="P26" t="s">
        <v>35</v>
      </c>
      <c r="Q26" t="s">
        <v>652</v>
      </c>
      <c r="R26" t="s">
        <v>36</v>
      </c>
      <c r="S26" s="2">
        <f>DATE(2019,12,12)</f>
        <v>43811</v>
      </c>
      <c r="T26" t="s">
        <v>143</v>
      </c>
      <c r="U26" t="s">
        <v>217</v>
      </c>
      <c r="V26" t="s">
        <v>218</v>
      </c>
      <c r="W26" t="s">
        <v>219</v>
      </c>
      <c r="X26" t="s">
        <v>220</v>
      </c>
      <c r="Y26" t="s">
        <v>577</v>
      </c>
      <c r="Z26" t="s">
        <v>578</v>
      </c>
      <c r="AA26" t="s">
        <v>32</v>
      </c>
    </row>
    <row r="27" spans="1:27" ht="17.45" customHeight="1" x14ac:dyDescent="0.2">
      <c r="A27" s="1">
        <v>50</v>
      </c>
      <c r="B27" s="1" t="s">
        <v>656</v>
      </c>
      <c r="C27" s="1">
        <v>50</v>
      </c>
      <c r="D27" t="s">
        <v>221</v>
      </c>
      <c r="E27" t="s">
        <v>222</v>
      </c>
      <c r="F27" t="s">
        <v>223</v>
      </c>
      <c r="G27" t="s">
        <v>160</v>
      </c>
      <c r="H27" s="1">
        <v>26</v>
      </c>
      <c r="I27" s="1">
        <v>50080</v>
      </c>
      <c r="J27" s="1">
        <v>1</v>
      </c>
      <c r="K27" t="s">
        <v>224</v>
      </c>
      <c r="L27" t="s">
        <v>225</v>
      </c>
      <c r="M27" t="s">
        <v>32</v>
      </c>
      <c r="N27" t="s">
        <v>226</v>
      </c>
      <c r="O27" t="s">
        <v>34</v>
      </c>
      <c r="P27" t="s">
        <v>35</v>
      </c>
      <c r="Q27" t="s">
        <v>651</v>
      </c>
      <c r="R27" t="s">
        <v>36</v>
      </c>
      <c r="S27" s="2">
        <f>DATE(2021,9,24)</f>
        <v>44463</v>
      </c>
      <c r="T27" t="s">
        <v>174</v>
      </c>
      <c r="U27" t="s">
        <v>227</v>
      </c>
      <c r="V27" t="s">
        <v>228</v>
      </c>
      <c r="W27" t="s">
        <v>229</v>
      </c>
      <c r="X27" t="s">
        <v>230</v>
      </c>
      <c r="Y27" t="s">
        <v>579</v>
      </c>
      <c r="Z27" t="s">
        <v>580</v>
      </c>
      <c r="AA27" t="s">
        <v>581</v>
      </c>
    </row>
    <row r="28" spans="1:27" ht="17.45" customHeight="1" x14ac:dyDescent="0.2">
      <c r="A28" s="1">
        <v>50</v>
      </c>
      <c r="B28" s="1" t="s">
        <v>656</v>
      </c>
      <c r="C28" s="1">
        <v>50</v>
      </c>
      <c r="D28" t="s">
        <v>231</v>
      </c>
      <c r="E28" t="s">
        <v>232</v>
      </c>
      <c r="F28" t="s">
        <v>159</v>
      </c>
      <c r="G28" t="s">
        <v>160</v>
      </c>
      <c r="H28" s="1">
        <v>20</v>
      </c>
      <c r="I28" s="1">
        <v>50101</v>
      </c>
      <c r="J28" s="1">
        <v>1</v>
      </c>
      <c r="K28" t="s">
        <v>161</v>
      </c>
      <c r="L28" t="s">
        <v>162</v>
      </c>
      <c r="M28" t="s">
        <v>163</v>
      </c>
      <c r="N28" t="s">
        <v>33</v>
      </c>
      <c r="O28" t="s">
        <v>81</v>
      </c>
      <c r="P28" t="s">
        <v>35</v>
      </c>
      <c r="Q28" t="s">
        <v>652</v>
      </c>
      <c r="R28" t="s">
        <v>134</v>
      </c>
      <c r="S28" s="2">
        <f>DATE(2025,2,5)</f>
        <v>45693</v>
      </c>
      <c r="T28" t="s">
        <v>143</v>
      </c>
      <c r="U28" t="s">
        <v>166</v>
      </c>
      <c r="V28" t="s">
        <v>165</v>
      </c>
      <c r="X28" t="s">
        <v>167</v>
      </c>
      <c r="Y28" t="s">
        <v>567</v>
      </c>
      <c r="Z28" t="s">
        <v>582</v>
      </c>
      <c r="AA28" t="s">
        <v>32</v>
      </c>
    </row>
    <row r="29" spans="1:27" ht="17.45" customHeight="1" x14ac:dyDescent="0.2">
      <c r="A29" s="1">
        <v>50</v>
      </c>
      <c r="B29" s="1" t="s">
        <v>656</v>
      </c>
      <c r="C29" s="1">
        <v>50</v>
      </c>
      <c r="D29" t="s">
        <v>233</v>
      </c>
      <c r="E29" t="s">
        <v>234</v>
      </c>
      <c r="F29" t="s">
        <v>235</v>
      </c>
      <c r="G29" t="s">
        <v>236</v>
      </c>
      <c r="H29" s="1">
        <v>22</v>
      </c>
      <c r="I29" s="1">
        <v>50104</v>
      </c>
      <c r="J29" s="1">
        <v>1</v>
      </c>
      <c r="K29" t="s">
        <v>237</v>
      </c>
      <c r="L29" t="s">
        <v>238</v>
      </c>
      <c r="M29" t="s">
        <v>32</v>
      </c>
      <c r="N29" t="s">
        <v>33</v>
      </c>
      <c r="O29" t="s">
        <v>81</v>
      </c>
      <c r="P29" t="s">
        <v>35</v>
      </c>
      <c r="Q29" t="s">
        <v>651</v>
      </c>
      <c r="R29" t="s">
        <v>36</v>
      </c>
      <c r="S29" s="2">
        <f>DATE(2025,10,31)</f>
        <v>45961</v>
      </c>
      <c r="T29" t="s">
        <v>55</v>
      </c>
      <c r="X29" t="s">
        <v>239</v>
      </c>
      <c r="Y29" t="s">
        <v>583</v>
      </c>
      <c r="Z29" t="s">
        <v>584</v>
      </c>
      <c r="AA29" t="s">
        <v>32</v>
      </c>
    </row>
    <row r="30" spans="1:27" ht="17.45" customHeight="1" x14ac:dyDescent="0.2">
      <c r="A30" s="1">
        <v>50</v>
      </c>
      <c r="B30" s="1" t="s">
        <v>656</v>
      </c>
      <c r="C30" s="1">
        <v>50</v>
      </c>
      <c r="D30" t="s">
        <v>240</v>
      </c>
      <c r="E30" t="s">
        <v>241</v>
      </c>
      <c r="F30" t="s">
        <v>242</v>
      </c>
      <c r="G30" t="s">
        <v>160</v>
      </c>
      <c r="H30" s="1">
        <v>20</v>
      </c>
      <c r="I30" s="1">
        <v>50065</v>
      </c>
      <c r="J30" s="1">
        <v>1</v>
      </c>
      <c r="K30" t="s">
        <v>243</v>
      </c>
      <c r="L30" t="s">
        <v>244</v>
      </c>
      <c r="M30" t="s">
        <v>245</v>
      </c>
      <c r="N30" t="s">
        <v>33</v>
      </c>
      <c r="O30" t="s">
        <v>34</v>
      </c>
      <c r="P30" t="s">
        <v>35</v>
      </c>
      <c r="Q30" t="s">
        <v>651</v>
      </c>
      <c r="R30" t="s">
        <v>36</v>
      </c>
      <c r="S30" s="2">
        <f>DATE(2024,8,14)</f>
        <v>45518</v>
      </c>
      <c r="T30" t="s">
        <v>143</v>
      </c>
      <c r="U30" t="s">
        <v>246</v>
      </c>
      <c r="V30" t="s">
        <v>247</v>
      </c>
      <c r="W30" t="s">
        <v>248</v>
      </c>
      <c r="X30" t="s">
        <v>249</v>
      </c>
      <c r="Y30" t="s">
        <v>585</v>
      </c>
      <c r="Z30" t="s">
        <v>586</v>
      </c>
      <c r="AA30" t="s">
        <v>32</v>
      </c>
    </row>
    <row r="31" spans="1:27" ht="17.45" customHeight="1" x14ac:dyDescent="0.2">
      <c r="A31" s="1">
        <v>50</v>
      </c>
      <c r="B31" s="1" t="s">
        <v>656</v>
      </c>
      <c r="C31" s="1">
        <v>50</v>
      </c>
      <c r="D31" t="s">
        <v>250</v>
      </c>
      <c r="E31" t="s">
        <v>251</v>
      </c>
      <c r="F31" t="s">
        <v>252</v>
      </c>
      <c r="G31" t="s">
        <v>41</v>
      </c>
      <c r="H31" s="1">
        <v>20</v>
      </c>
      <c r="I31" s="1">
        <v>50096</v>
      </c>
      <c r="J31" s="1">
        <v>1</v>
      </c>
      <c r="K31" t="s">
        <v>253</v>
      </c>
      <c r="L31" t="s">
        <v>254</v>
      </c>
      <c r="M31" t="s">
        <v>255</v>
      </c>
      <c r="N31" t="s">
        <v>33</v>
      </c>
      <c r="O31" t="s">
        <v>34</v>
      </c>
      <c r="P31" t="s">
        <v>35</v>
      </c>
      <c r="Q31" t="s">
        <v>651</v>
      </c>
      <c r="R31" t="s">
        <v>36</v>
      </c>
      <c r="S31" s="2">
        <f>DATE(2023,12,11)</f>
        <v>45271</v>
      </c>
      <c r="T31" t="s">
        <v>143</v>
      </c>
      <c r="U31" t="s">
        <v>256</v>
      </c>
      <c r="X31" t="s">
        <v>257</v>
      </c>
      <c r="Y31" t="s">
        <v>587</v>
      </c>
      <c r="Z31" t="s">
        <v>32</v>
      </c>
      <c r="AA31" t="s">
        <v>32</v>
      </c>
    </row>
    <row r="32" spans="1:27" ht="17.45" customHeight="1" x14ac:dyDescent="0.2">
      <c r="A32" s="1">
        <v>50</v>
      </c>
      <c r="B32" s="1" t="s">
        <v>656</v>
      </c>
      <c r="C32" s="1">
        <v>50</v>
      </c>
      <c r="D32" t="s">
        <v>258</v>
      </c>
      <c r="E32" t="s">
        <v>259</v>
      </c>
      <c r="F32" t="s">
        <v>260</v>
      </c>
      <c r="G32" t="s">
        <v>261</v>
      </c>
      <c r="H32" s="1">
        <v>22</v>
      </c>
      <c r="I32" s="1">
        <v>50105</v>
      </c>
      <c r="J32" s="1">
        <v>1</v>
      </c>
      <c r="K32" t="s">
        <v>262</v>
      </c>
      <c r="L32" t="s">
        <v>263</v>
      </c>
      <c r="M32" t="s">
        <v>32</v>
      </c>
      <c r="N32" t="s">
        <v>33</v>
      </c>
      <c r="O32" t="s">
        <v>81</v>
      </c>
      <c r="P32" t="s">
        <v>35</v>
      </c>
      <c r="Q32" t="s">
        <v>651</v>
      </c>
      <c r="R32" t="s">
        <v>134</v>
      </c>
      <c r="S32" s="2">
        <f>DATE(2025,11,28)</f>
        <v>45989</v>
      </c>
      <c r="T32" t="s">
        <v>37</v>
      </c>
      <c r="U32" t="s">
        <v>264</v>
      </c>
      <c r="V32" t="s">
        <v>32</v>
      </c>
      <c r="W32" t="s">
        <v>32</v>
      </c>
      <c r="X32" t="s">
        <v>239</v>
      </c>
      <c r="Y32" t="s">
        <v>583</v>
      </c>
      <c r="Z32" t="s">
        <v>584</v>
      </c>
      <c r="AA32" t="s">
        <v>32</v>
      </c>
    </row>
    <row r="33" spans="1:27" ht="17.45" customHeight="1" x14ac:dyDescent="0.2">
      <c r="A33" s="1">
        <v>54</v>
      </c>
      <c r="B33" s="1" t="s">
        <v>657</v>
      </c>
      <c r="C33" s="1">
        <v>54</v>
      </c>
      <c r="D33" t="s">
        <v>265</v>
      </c>
      <c r="E33" t="s">
        <v>266</v>
      </c>
      <c r="F33" t="s">
        <v>267</v>
      </c>
      <c r="G33" t="s">
        <v>41</v>
      </c>
      <c r="H33" s="1">
        <v>21</v>
      </c>
      <c r="I33" s="1">
        <v>11016</v>
      </c>
      <c r="J33" s="1">
        <v>1</v>
      </c>
      <c r="K33" t="s">
        <v>268</v>
      </c>
      <c r="L33" t="s">
        <v>269</v>
      </c>
      <c r="M33" t="s">
        <v>32</v>
      </c>
      <c r="N33" t="s">
        <v>33</v>
      </c>
      <c r="O33" t="s">
        <v>81</v>
      </c>
      <c r="P33" t="s">
        <v>35</v>
      </c>
      <c r="Q33" t="s">
        <v>651</v>
      </c>
      <c r="R33" t="s">
        <v>36</v>
      </c>
      <c r="S33" s="2">
        <f>DATE(2017,4,1)</f>
        <v>42826</v>
      </c>
      <c r="T33" t="s">
        <v>125</v>
      </c>
      <c r="U33" t="s">
        <v>270</v>
      </c>
      <c r="X33" t="s">
        <v>271</v>
      </c>
      <c r="Y33" t="s">
        <v>588</v>
      </c>
      <c r="Z33" t="s">
        <v>589</v>
      </c>
      <c r="AA33" t="s">
        <v>590</v>
      </c>
    </row>
    <row r="34" spans="1:27" ht="17.45" customHeight="1" x14ac:dyDescent="0.2">
      <c r="A34" s="1">
        <v>54</v>
      </c>
      <c r="B34" s="1" t="s">
        <v>657</v>
      </c>
      <c r="C34" s="1">
        <v>54</v>
      </c>
      <c r="D34" t="s">
        <v>272</v>
      </c>
      <c r="E34" t="s">
        <v>273</v>
      </c>
      <c r="F34" t="s">
        <v>267</v>
      </c>
      <c r="G34" t="s">
        <v>160</v>
      </c>
      <c r="H34" s="1">
        <v>21</v>
      </c>
      <c r="I34" s="1">
        <v>11027</v>
      </c>
      <c r="J34" s="1">
        <v>1</v>
      </c>
      <c r="K34" t="s">
        <v>274</v>
      </c>
      <c r="L34" t="s">
        <v>275</v>
      </c>
      <c r="M34" t="s">
        <v>32</v>
      </c>
      <c r="N34" t="s">
        <v>276</v>
      </c>
      <c r="O34" t="s">
        <v>34</v>
      </c>
      <c r="P34" t="s">
        <v>35</v>
      </c>
      <c r="Q34" t="s">
        <v>651</v>
      </c>
      <c r="R34" t="s">
        <v>36</v>
      </c>
      <c r="S34" s="2">
        <f>DATE(2017,4,1)</f>
        <v>42826</v>
      </c>
      <c r="T34" t="s">
        <v>125</v>
      </c>
      <c r="U34" t="s">
        <v>270</v>
      </c>
      <c r="X34" t="s">
        <v>277</v>
      </c>
      <c r="Y34" t="s">
        <v>591</v>
      </c>
      <c r="Z34" t="s">
        <v>592</v>
      </c>
      <c r="AA34" t="s">
        <v>593</v>
      </c>
    </row>
    <row r="35" spans="1:27" ht="17.45" customHeight="1" x14ac:dyDescent="0.2">
      <c r="A35" s="1">
        <v>54</v>
      </c>
      <c r="B35" s="1" t="s">
        <v>657</v>
      </c>
      <c r="C35" s="1">
        <v>54</v>
      </c>
      <c r="D35" t="s">
        <v>278</v>
      </c>
      <c r="E35" t="s">
        <v>279</v>
      </c>
      <c r="F35" t="s">
        <v>280</v>
      </c>
      <c r="G35" t="s">
        <v>41</v>
      </c>
      <c r="H35" s="1">
        <v>22</v>
      </c>
      <c r="I35" s="1">
        <v>10061</v>
      </c>
      <c r="J35" s="1">
        <v>1</v>
      </c>
      <c r="K35" t="s">
        <v>281</v>
      </c>
      <c r="L35" t="s">
        <v>282</v>
      </c>
      <c r="M35" t="s">
        <v>283</v>
      </c>
      <c r="N35" t="s">
        <v>33</v>
      </c>
      <c r="O35" t="s">
        <v>34</v>
      </c>
      <c r="P35" t="s">
        <v>35</v>
      </c>
      <c r="Q35" t="s">
        <v>651</v>
      </c>
      <c r="R35" t="s">
        <v>36</v>
      </c>
      <c r="S35" s="2">
        <f>DATE(2021,5,28)</f>
        <v>44344</v>
      </c>
      <c r="T35" t="s">
        <v>55</v>
      </c>
      <c r="X35" t="s">
        <v>284</v>
      </c>
      <c r="Y35" t="s">
        <v>594</v>
      </c>
      <c r="Z35" t="s">
        <v>595</v>
      </c>
      <c r="AA35" t="s">
        <v>596</v>
      </c>
    </row>
    <row r="36" spans="1:27" ht="17.45" customHeight="1" x14ac:dyDescent="0.2">
      <c r="A36" s="1">
        <v>54</v>
      </c>
      <c r="B36" s="1" t="s">
        <v>657</v>
      </c>
      <c r="C36" s="1">
        <v>54</v>
      </c>
      <c r="D36" t="s">
        <v>278</v>
      </c>
      <c r="E36" t="s">
        <v>279</v>
      </c>
      <c r="F36" t="s">
        <v>280</v>
      </c>
      <c r="G36" t="s">
        <v>41</v>
      </c>
      <c r="H36" s="1">
        <v>22</v>
      </c>
      <c r="I36" s="1">
        <v>10063</v>
      </c>
      <c r="J36" s="1">
        <v>1</v>
      </c>
      <c r="K36" t="s">
        <v>285</v>
      </c>
      <c r="L36" t="s">
        <v>286</v>
      </c>
      <c r="M36" t="s">
        <v>32</v>
      </c>
      <c r="N36" t="s">
        <v>33</v>
      </c>
      <c r="O36" t="s">
        <v>81</v>
      </c>
      <c r="P36" t="s">
        <v>35</v>
      </c>
      <c r="Q36" t="s">
        <v>651</v>
      </c>
      <c r="R36" t="s">
        <v>36</v>
      </c>
      <c r="S36" s="2">
        <f>DATE(2024,5,30)</f>
        <v>45442</v>
      </c>
      <c r="T36" t="s">
        <v>55</v>
      </c>
      <c r="U36" t="s">
        <v>287</v>
      </c>
      <c r="X36" t="s">
        <v>288</v>
      </c>
      <c r="Y36" t="s">
        <v>594</v>
      </c>
      <c r="Z36" t="s">
        <v>595</v>
      </c>
      <c r="AA36" t="s">
        <v>596</v>
      </c>
    </row>
    <row r="37" spans="1:27" ht="17.45" customHeight="1" x14ac:dyDescent="0.2">
      <c r="A37" s="1">
        <v>54</v>
      </c>
      <c r="B37" s="1" t="s">
        <v>657</v>
      </c>
      <c r="C37" s="1">
        <v>54</v>
      </c>
      <c r="D37" t="s">
        <v>278</v>
      </c>
      <c r="E37" t="s">
        <v>279</v>
      </c>
      <c r="F37" t="s">
        <v>280</v>
      </c>
      <c r="G37" t="s">
        <v>41</v>
      </c>
      <c r="H37" s="1">
        <v>22</v>
      </c>
      <c r="I37" s="1">
        <v>10121</v>
      </c>
      <c r="J37" s="1">
        <v>1</v>
      </c>
      <c r="K37" t="s">
        <v>289</v>
      </c>
      <c r="L37" t="s">
        <v>290</v>
      </c>
      <c r="M37" t="s">
        <v>32</v>
      </c>
      <c r="N37" t="s">
        <v>33</v>
      </c>
      <c r="O37" t="s">
        <v>34</v>
      </c>
      <c r="P37" t="s">
        <v>35</v>
      </c>
      <c r="Q37" t="s">
        <v>651</v>
      </c>
      <c r="R37" t="s">
        <v>36</v>
      </c>
      <c r="S37" s="2">
        <f>DATE(2023,9,26)</f>
        <v>45195</v>
      </c>
      <c r="T37" t="s">
        <v>55</v>
      </c>
      <c r="U37" t="s">
        <v>291</v>
      </c>
      <c r="X37" t="s">
        <v>292</v>
      </c>
      <c r="Y37" t="s">
        <v>594</v>
      </c>
      <c r="Z37" t="s">
        <v>595</v>
      </c>
      <c r="AA37" t="s">
        <v>596</v>
      </c>
    </row>
    <row r="38" spans="1:27" ht="17.45" customHeight="1" x14ac:dyDescent="0.2">
      <c r="A38" s="1">
        <v>54</v>
      </c>
      <c r="B38" s="1" t="s">
        <v>657</v>
      </c>
      <c r="C38" s="1">
        <v>54</v>
      </c>
      <c r="D38" t="s">
        <v>278</v>
      </c>
      <c r="E38" t="s">
        <v>279</v>
      </c>
      <c r="F38" t="s">
        <v>280</v>
      </c>
      <c r="G38" t="s">
        <v>41</v>
      </c>
      <c r="H38" s="1">
        <v>22</v>
      </c>
      <c r="I38" s="1">
        <v>10125</v>
      </c>
      <c r="J38" s="1">
        <v>1</v>
      </c>
      <c r="K38" t="s">
        <v>293</v>
      </c>
      <c r="L38" t="s">
        <v>294</v>
      </c>
      <c r="M38" t="s">
        <v>295</v>
      </c>
      <c r="N38" t="s">
        <v>33</v>
      </c>
      <c r="O38" t="s">
        <v>34</v>
      </c>
      <c r="P38" t="s">
        <v>35</v>
      </c>
      <c r="Q38" t="s">
        <v>651</v>
      </c>
      <c r="R38" t="s">
        <v>36</v>
      </c>
      <c r="S38" s="2">
        <f>DATE(2024,10,16)</f>
        <v>45581</v>
      </c>
      <c r="T38" t="s">
        <v>55</v>
      </c>
      <c r="U38" t="s">
        <v>296</v>
      </c>
      <c r="X38" t="s">
        <v>288</v>
      </c>
      <c r="Y38" t="s">
        <v>594</v>
      </c>
      <c r="Z38" t="s">
        <v>595</v>
      </c>
      <c r="AA38" t="s">
        <v>596</v>
      </c>
    </row>
    <row r="39" spans="1:27" ht="17.45" customHeight="1" x14ac:dyDescent="0.2">
      <c r="A39" s="1">
        <v>54</v>
      </c>
      <c r="B39" s="1" t="s">
        <v>657</v>
      </c>
      <c r="C39" s="1">
        <v>54</v>
      </c>
      <c r="D39" t="s">
        <v>297</v>
      </c>
      <c r="E39" t="s">
        <v>298</v>
      </c>
      <c r="F39" t="s">
        <v>267</v>
      </c>
      <c r="G39" t="s">
        <v>41</v>
      </c>
      <c r="H39" s="1">
        <v>21</v>
      </c>
      <c r="I39" s="1">
        <v>54030</v>
      </c>
      <c r="J39" s="1">
        <v>1</v>
      </c>
      <c r="K39" t="s">
        <v>299</v>
      </c>
      <c r="L39" t="s">
        <v>300</v>
      </c>
      <c r="M39" t="s">
        <v>32</v>
      </c>
      <c r="N39" t="s">
        <v>33</v>
      </c>
      <c r="O39" t="s">
        <v>34</v>
      </c>
      <c r="P39" t="s">
        <v>35</v>
      </c>
      <c r="Q39" t="s">
        <v>651</v>
      </c>
      <c r="R39" t="s">
        <v>134</v>
      </c>
      <c r="S39" s="2">
        <f>DATE(2022,4,29)</f>
        <v>44680</v>
      </c>
      <c r="T39" t="s">
        <v>125</v>
      </c>
      <c r="U39" t="s">
        <v>270</v>
      </c>
      <c r="X39" t="s">
        <v>301</v>
      </c>
      <c r="Y39" t="s">
        <v>597</v>
      </c>
      <c r="Z39" t="s">
        <v>32</v>
      </c>
      <c r="AA39" t="s">
        <v>598</v>
      </c>
    </row>
    <row r="40" spans="1:27" ht="17.45" customHeight="1" x14ac:dyDescent="0.2">
      <c r="A40" s="1">
        <v>54</v>
      </c>
      <c r="B40" s="1" t="s">
        <v>657</v>
      </c>
      <c r="C40" s="1">
        <v>54</v>
      </c>
      <c r="D40" t="s">
        <v>297</v>
      </c>
      <c r="E40" t="s">
        <v>298</v>
      </c>
      <c r="F40" t="s">
        <v>267</v>
      </c>
      <c r="G40" t="s">
        <v>41</v>
      </c>
      <c r="H40" s="1">
        <v>21</v>
      </c>
      <c r="I40" s="1">
        <v>54031</v>
      </c>
      <c r="J40" s="1">
        <v>1</v>
      </c>
      <c r="K40" t="s">
        <v>302</v>
      </c>
      <c r="L40" t="s">
        <v>303</v>
      </c>
      <c r="M40" t="s">
        <v>32</v>
      </c>
      <c r="N40" t="s">
        <v>304</v>
      </c>
      <c r="O40" t="s">
        <v>305</v>
      </c>
      <c r="P40" t="s">
        <v>35</v>
      </c>
      <c r="Q40" t="s">
        <v>651</v>
      </c>
      <c r="R40" t="s">
        <v>134</v>
      </c>
      <c r="S40" s="2">
        <f>DATE(2022,11,11)</f>
        <v>44876</v>
      </c>
      <c r="T40" t="s">
        <v>125</v>
      </c>
      <c r="U40" t="s">
        <v>32</v>
      </c>
      <c r="V40" t="s">
        <v>32</v>
      </c>
      <c r="W40" t="s">
        <v>32</v>
      </c>
      <c r="X40" t="s">
        <v>32</v>
      </c>
      <c r="Y40" t="s">
        <v>597</v>
      </c>
      <c r="Z40" t="s">
        <v>32</v>
      </c>
      <c r="AA40" t="s">
        <v>598</v>
      </c>
    </row>
    <row r="41" spans="1:27" ht="17.45" customHeight="1" x14ac:dyDescent="0.2">
      <c r="A41" s="1">
        <v>54</v>
      </c>
      <c r="B41" s="1" t="s">
        <v>657</v>
      </c>
      <c r="C41" s="1">
        <v>54</v>
      </c>
      <c r="D41" t="s">
        <v>297</v>
      </c>
      <c r="E41" t="s">
        <v>298</v>
      </c>
      <c r="F41" t="s">
        <v>267</v>
      </c>
      <c r="G41" t="s">
        <v>41</v>
      </c>
      <c r="H41" s="1">
        <v>21</v>
      </c>
      <c r="I41" s="1">
        <v>54032</v>
      </c>
      <c r="J41" s="1">
        <v>1</v>
      </c>
      <c r="K41" t="s">
        <v>306</v>
      </c>
      <c r="L41" t="s">
        <v>307</v>
      </c>
      <c r="M41" t="s">
        <v>32</v>
      </c>
      <c r="N41" t="s">
        <v>308</v>
      </c>
      <c r="O41" t="s">
        <v>305</v>
      </c>
      <c r="P41" t="s">
        <v>35</v>
      </c>
      <c r="Q41" t="s">
        <v>651</v>
      </c>
      <c r="R41" t="s">
        <v>134</v>
      </c>
      <c r="S41" s="2">
        <f>DATE(2022,11,11)</f>
        <v>44876</v>
      </c>
      <c r="T41" t="s">
        <v>125</v>
      </c>
      <c r="U41" t="s">
        <v>32</v>
      </c>
      <c r="V41" t="s">
        <v>32</v>
      </c>
      <c r="W41" t="s">
        <v>32</v>
      </c>
      <c r="X41" t="s">
        <v>32</v>
      </c>
      <c r="Y41" t="s">
        <v>597</v>
      </c>
      <c r="Z41" t="s">
        <v>32</v>
      </c>
      <c r="AA41" t="s">
        <v>598</v>
      </c>
    </row>
    <row r="42" spans="1:27" ht="17.45" customHeight="1" x14ac:dyDescent="0.2">
      <c r="A42" s="1">
        <v>54</v>
      </c>
      <c r="B42" s="1" t="s">
        <v>657</v>
      </c>
      <c r="C42" s="1">
        <v>54</v>
      </c>
      <c r="D42" t="s">
        <v>297</v>
      </c>
      <c r="E42" t="s">
        <v>298</v>
      </c>
      <c r="F42" t="s">
        <v>267</v>
      </c>
      <c r="G42" t="s">
        <v>41</v>
      </c>
      <c r="H42" s="1">
        <v>21</v>
      </c>
      <c r="I42" s="1">
        <v>54033</v>
      </c>
      <c r="J42" s="1">
        <v>1</v>
      </c>
      <c r="K42" t="s">
        <v>309</v>
      </c>
      <c r="L42" t="s">
        <v>310</v>
      </c>
      <c r="M42" t="s">
        <v>32</v>
      </c>
      <c r="N42" t="s">
        <v>311</v>
      </c>
      <c r="O42" t="s">
        <v>305</v>
      </c>
      <c r="P42" t="s">
        <v>35</v>
      </c>
      <c r="Q42" t="s">
        <v>651</v>
      </c>
      <c r="R42" t="s">
        <v>134</v>
      </c>
      <c r="S42" s="2">
        <f>DATE(2022,11,11)</f>
        <v>44876</v>
      </c>
      <c r="T42" t="s">
        <v>125</v>
      </c>
      <c r="U42" t="s">
        <v>32</v>
      </c>
      <c r="V42" t="s">
        <v>32</v>
      </c>
      <c r="W42" t="s">
        <v>32</v>
      </c>
      <c r="X42" t="s">
        <v>32</v>
      </c>
      <c r="Y42" t="s">
        <v>597</v>
      </c>
      <c r="Z42" t="s">
        <v>32</v>
      </c>
      <c r="AA42" t="s">
        <v>598</v>
      </c>
    </row>
    <row r="43" spans="1:27" ht="17.45" customHeight="1" x14ac:dyDescent="0.2">
      <c r="A43" s="1">
        <v>54</v>
      </c>
      <c r="B43" s="1" t="s">
        <v>657</v>
      </c>
      <c r="C43" s="1">
        <v>54</v>
      </c>
      <c r="D43" t="s">
        <v>297</v>
      </c>
      <c r="E43" t="s">
        <v>298</v>
      </c>
      <c r="F43" t="s">
        <v>267</v>
      </c>
      <c r="G43" t="s">
        <v>41</v>
      </c>
      <c r="H43" s="1">
        <v>21</v>
      </c>
      <c r="I43" s="1">
        <v>54055</v>
      </c>
      <c r="J43" s="1">
        <v>1</v>
      </c>
      <c r="K43" t="s">
        <v>312</v>
      </c>
      <c r="L43" t="s">
        <v>32</v>
      </c>
      <c r="M43" t="s">
        <v>32</v>
      </c>
      <c r="N43" t="s">
        <v>33</v>
      </c>
      <c r="O43" t="s">
        <v>81</v>
      </c>
      <c r="P43" t="s">
        <v>35</v>
      </c>
      <c r="Q43" t="s">
        <v>651</v>
      </c>
      <c r="R43" t="s">
        <v>134</v>
      </c>
      <c r="S43" s="2">
        <f>DATE(2022,11,16)</f>
        <v>44881</v>
      </c>
      <c r="T43" t="s">
        <v>125</v>
      </c>
      <c r="U43" t="s">
        <v>32</v>
      </c>
      <c r="V43" t="s">
        <v>32</v>
      </c>
      <c r="W43" t="s">
        <v>32</v>
      </c>
      <c r="X43" t="s">
        <v>32</v>
      </c>
      <c r="Y43" t="s">
        <v>597</v>
      </c>
      <c r="Z43" t="s">
        <v>32</v>
      </c>
      <c r="AA43" t="s">
        <v>598</v>
      </c>
    </row>
    <row r="44" spans="1:27" ht="17.45" customHeight="1" x14ac:dyDescent="0.2">
      <c r="A44" s="1">
        <v>54</v>
      </c>
      <c r="B44" s="1" t="s">
        <v>657</v>
      </c>
      <c r="C44" s="1">
        <v>54</v>
      </c>
      <c r="D44" t="s">
        <v>297</v>
      </c>
      <c r="E44" t="s">
        <v>298</v>
      </c>
      <c r="F44" t="s">
        <v>267</v>
      </c>
      <c r="G44" t="s">
        <v>41</v>
      </c>
      <c r="H44" s="1">
        <v>21</v>
      </c>
      <c r="I44" s="1">
        <v>54056</v>
      </c>
      <c r="J44" s="1">
        <v>1</v>
      </c>
      <c r="K44" t="s">
        <v>313</v>
      </c>
      <c r="L44" t="s">
        <v>314</v>
      </c>
      <c r="M44" t="s">
        <v>315</v>
      </c>
      <c r="N44" t="s">
        <v>33</v>
      </c>
      <c r="O44" t="s">
        <v>34</v>
      </c>
      <c r="P44" t="s">
        <v>35</v>
      </c>
      <c r="Q44" t="s">
        <v>651</v>
      </c>
      <c r="R44" t="s">
        <v>134</v>
      </c>
      <c r="S44" s="2">
        <f>DATE(2023,7,20)</f>
        <v>45127</v>
      </c>
      <c r="T44" t="s">
        <v>125</v>
      </c>
      <c r="X44" t="s">
        <v>32</v>
      </c>
      <c r="Y44" t="s">
        <v>597</v>
      </c>
      <c r="Z44" t="s">
        <v>32</v>
      </c>
      <c r="AA44" t="s">
        <v>598</v>
      </c>
    </row>
    <row r="45" spans="1:27" ht="17.45" customHeight="1" x14ac:dyDescent="0.2">
      <c r="A45" s="1">
        <v>54</v>
      </c>
      <c r="B45" s="1" t="s">
        <v>657</v>
      </c>
      <c r="C45" s="1">
        <v>54</v>
      </c>
      <c r="D45" t="s">
        <v>297</v>
      </c>
      <c r="E45" t="s">
        <v>298</v>
      </c>
      <c r="F45" t="s">
        <v>267</v>
      </c>
      <c r="G45" t="s">
        <v>41</v>
      </c>
      <c r="H45" s="1">
        <v>21</v>
      </c>
      <c r="I45" s="1">
        <v>55035</v>
      </c>
      <c r="J45" s="1">
        <v>1</v>
      </c>
      <c r="K45" t="s">
        <v>316</v>
      </c>
      <c r="L45" t="s">
        <v>317</v>
      </c>
      <c r="M45" t="s">
        <v>32</v>
      </c>
      <c r="N45" t="s">
        <v>33</v>
      </c>
      <c r="O45" t="s">
        <v>81</v>
      </c>
      <c r="P45" t="s">
        <v>35</v>
      </c>
      <c r="Q45" t="s">
        <v>651</v>
      </c>
      <c r="R45" t="s">
        <v>134</v>
      </c>
      <c r="S45" s="2">
        <f>DATE(2023,6,22)</f>
        <v>45099</v>
      </c>
      <c r="T45" t="s">
        <v>125</v>
      </c>
      <c r="U45" t="s">
        <v>32</v>
      </c>
      <c r="V45" t="s">
        <v>32</v>
      </c>
      <c r="W45" t="s">
        <v>32</v>
      </c>
      <c r="X45" t="s">
        <v>32</v>
      </c>
      <c r="Y45" t="s">
        <v>597</v>
      </c>
      <c r="Z45" t="s">
        <v>32</v>
      </c>
      <c r="AA45" t="s">
        <v>598</v>
      </c>
    </row>
    <row r="46" spans="1:27" ht="17.45" customHeight="1" x14ac:dyDescent="0.2">
      <c r="A46" s="1">
        <v>55</v>
      </c>
      <c r="B46" s="1" t="s">
        <v>658</v>
      </c>
      <c r="C46" s="1">
        <v>55</v>
      </c>
      <c r="D46" t="s">
        <v>318</v>
      </c>
      <c r="E46" t="s">
        <v>319</v>
      </c>
      <c r="F46" t="s">
        <v>267</v>
      </c>
      <c r="G46" t="s">
        <v>160</v>
      </c>
      <c r="H46" s="1">
        <v>21</v>
      </c>
      <c r="I46" s="1">
        <v>11012</v>
      </c>
      <c r="J46" s="1">
        <v>1</v>
      </c>
      <c r="K46" t="s">
        <v>320</v>
      </c>
      <c r="L46" t="s">
        <v>321</v>
      </c>
      <c r="M46" t="s">
        <v>322</v>
      </c>
      <c r="N46" t="s">
        <v>33</v>
      </c>
      <c r="O46" t="s">
        <v>34</v>
      </c>
      <c r="P46" t="s">
        <v>35</v>
      </c>
      <c r="Q46" t="s">
        <v>651</v>
      </c>
      <c r="R46" t="s">
        <v>134</v>
      </c>
      <c r="S46" s="2">
        <f>DATE(2017,4,1)</f>
        <v>42826</v>
      </c>
      <c r="T46" t="s">
        <v>125</v>
      </c>
      <c r="U46" t="s">
        <v>270</v>
      </c>
      <c r="X46" t="s">
        <v>323</v>
      </c>
      <c r="Y46" t="s">
        <v>599</v>
      </c>
      <c r="Z46" t="s">
        <v>600</v>
      </c>
      <c r="AA46" t="s">
        <v>601</v>
      </c>
    </row>
    <row r="47" spans="1:27" ht="17.45" customHeight="1" x14ac:dyDescent="0.2">
      <c r="A47" s="1">
        <v>55</v>
      </c>
      <c r="B47" s="1" t="s">
        <v>658</v>
      </c>
      <c r="C47" s="1">
        <v>55</v>
      </c>
      <c r="D47" t="s">
        <v>318</v>
      </c>
      <c r="E47" t="s">
        <v>319</v>
      </c>
      <c r="F47" t="s">
        <v>267</v>
      </c>
      <c r="G47" t="s">
        <v>160</v>
      </c>
      <c r="H47" s="1">
        <v>21</v>
      </c>
      <c r="I47" s="1">
        <v>11013</v>
      </c>
      <c r="J47" s="1">
        <v>1</v>
      </c>
      <c r="K47" t="s">
        <v>324</v>
      </c>
      <c r="L47" t="s">
        <v>325</v>
      </c>
      <c r="M47" t="s">
        <v>326</v>
      </c>
      <c r="N47" t="s">
        <v>33</v>
      </c>
      <c r="O47" t="s">
        <v>34</v>
      </c>
      <c r="P47" t="s">
        <v>35</v>
      </c>
      <c r="Q47" t="s">
        <v>651</v>
      </c>
      <c r="R47" t="s">
        <v>134</v>
      </c>
      <c r="S47" s="2">
        <f>DATE(2017,4,1)</f>
        <v>42826</v>
      </c>
      <c r="T47" t="s">
        <v>125</v>
      </c>
      <c r="U47" t="s">
        <v>270</v>
      </c>
      <c r="X47" t="s">
        <v>323</v>
      </c>
      <c r="Y47" t="s">
        <v>599</v>
      </c>
      <c r="Z47" t="s">
        <v>600</v>
      </c>
      <c r="AA47" t="s">
        <v>601</v>
      </c>
    </row>
    <row r="48" spans="1:27" ht="17.45" customHeight="1" x14ac:dyDescent="0.2">
      <c r="A48" s="1">
        <v>55</v>
      </c>
      <c r="B48" s="1" t="s">
        <v>658</v>
      </c>
      <c r="C48" s="1">
        <v>55</v>
      </c>
      <c r="D48" t="s">
        <v>327</v>
      </c>
      <c r="E48" t="s">
        <v>328</v>
      </c>
      <c r="F48" t="s">
        <v>329</v>
      </c>
      <c r="G48" t="s">
        <v>160</v>
      </c>
      <c r="H48" s="1">
        <v>26</v>
      </c>
      <c r="I48" s="1">
        <v>55002</v>
      </c>
      <c r="J48" s="1">
        <v>1</v>
      </c>
      <c r="K48" t="s">
        <v>330</v>
      </c>
      <c r="L48" t="s">
        <v>331</v>
      </c>
      <c r="M48" t="s">
        <v>332</v>
      </c>
      <c r="N48" t="s">
        <v>33</v>
      </c>
      <c r="O48" t="s">
        <v>81</v>
      </c>
      <c r="P48" t="s">
        <v>35</v>
      </c>
      <c r="Q48" t="s">
        <v>651</v>
      </c>
      <c r="R48" t="s">
        <v>36</v>
      </c>
      <c r="S48" s="2">
        <f>DATE(2026,1,30)</f>
        <v>46052</v>
      </c>
      <c r="T48" t="s">
        <v>125</v>
      </c>
      <c r="U48" t="s">
        <v>333</v>
      </c>
      <c r="X48" t="s">
        <v>334</v>
      </c>
      <c r="Y48" t="s">
        <v>602</v>
      </c>
      <c r="Z48" t="s">
        <v>603</v>
      </c>
      <c r="AA48" t="s">
        <v>604</v>
      </c>
    </row>
    <row r="49" spans="1:27" ht="17.45" customHeight="1" x14ac:dyDescent="0.2">
      <c r="A49" s="1">
        <v>55</v>
      </c>
      <c r="B49" s="1" t="s">
        <v>658</v>
      </c>
      <c r="C49" s="1">
        <v>55</v>
      </c>
      <c r="D49" t="s">
        <v>335</v>
      </c>
      <c r="E49" t="s">
        <v>336</v>
      </c>
      <c r="F49" t="s">
        <v>267</v>
      </c>
      <c r="G49" t="s">
        <v>41</v>
      </c>
      <c r="H49" s="1">
        <v>21</v>
      </c>
      <c r="I49" s="1">
        <v>11019</v>
      </c>
      <c r="J49" s="1">
        <v>1</v>
      </c>
      <c r="K49" t="s">
        <v>337</v>
      </c>
      <c r="L49" t="s">
        <v>338</v>
      </c>
      <c r="M49" t="s">
        <v>32</v>
      </c>
      <c r="N49" t="s">
        <v>339</v>
      </c>
      <c r="O49" t="s">
        <v>81</v>
      </c>
      <c r="P49" t="s">
        <v>35</v>
      </c>
      <c r="Q49" t="s">
        <v>651</v>
      </c>
      <c r="R49" t="s">
        <v>134</v>
      </c>
      <c r="S49" s="2">
        <f>DATE(2017,4,1)</f>
        <v>42826</v>
      </c>
      <c r="T49" t="s">
        <v>125</v>
      </c>
      <c r="U49" t="s">
        <v>270</v>
      </c>
      <c r="X49" t="s">
        <v>277</v>
      </c>
      <c r="Y49" t="s">
        <v>605</v>
      </c>
      <c r="Z49" t="s">
        <v>606</v>
      </c>
      <c r="AA49" t="s">
        <v>607</v>
      </c>
    </row>
    <row r="50" spans="1:27" ht="17.45" customHeight="1" x14ac:dyDescent="0.2">
      <c r="A50" s="1">
        <v>55</v>
      </c>
      <c r="B50" s="1" t="s">
        <v>658</v>
      </c>
      <c r="C50" s="1">
        <v>55</v>
      </c>
      <c r="D50" t="s">
        <v>340</v>
      </c>
      <c r="E50" t="s">
        <v>341</v>
      </c>
      <c r="F50" t="s">
        <v>267</v>
      </c>
      <c r="G50" t="s">
        <v>41</v>
      </c>
      <c r="H50" s="1">
        <v>21</v>
      </c>
      <c r="I50" s="1">
        <v>11029</v>
      </c>
      <c r="J50" s="1">
        <v>1</v>
      </c>
      <c r="K50" t="s">
        <v>342</v>
      </c>
      <c r="L50" t="s">
        <v>343</v>
      </c>
      <c r="M50" t="s">
        <v>344</v>
      </c>
      <c r="N50" t="s">
        <v>87</v>
      </c>
      <c r="O50" t="s">
        <v>34</v>
      </c>
      <c r="P50" t="s">
        <v>35</v>
      </c>
      <c r="Q50" t="s">
        <v>651</v>
      </c>
      <c r="R50" t="s">
        <v>36</v>
      </c>
      <c r="S50" s="2">
        <f>DATE(2017,4,1)</f>
        <v>42826</v>
      </c>
      <c r="T50" t="s">
        <v>125</v>
      </c>
      <c r="U50" t="s">
        <v>270</v>
      </c>
      <c r="V50" t="s">
        <v>345</v>
      </c>
      <c r="W50" t="s">
        <v>346</v>
      </c>
      <c r="X50" t="s">
        <v>347</v>
      </c>
      <c r="Y50" t="s">
        <v>608</v>
      </c>
      <c r="Z50" t="s">
        <v>609</v>
      </c>
      <c r="AA50" t="s">
        <v>610</v>
      </c>
    </row>
    <row r="51" spans="1:27" ht="17.45" customHeight="1" x14ac:dyDescent="0.2">
      <c r="A51" s="1">
        <v>55</v>
      </c>
      <c r="B51" s="1" t="s">
        <v>658</v>
      </c>
      <c r="C51" s="1">
        <v>55</v>
      </c>
      <c r="D51" t="s">
        <v>340</v>
      </c>
      <c r="E51" t="s">
        <v>341</v>
      </c>
      <c r="F51" t="s">
        <v>267</v>
      </c>
      <c r="G51" t="s">
        <v>41</v>
      </c>
      <c r="H51" s="1">
        <v>21</v>
      </c>
      <c r="I51" s="1">
        <v>11030</v>
      </c>
      <c r="J51" s="1">
        <v>1</v>
      </c>
      <c r="K51" t="s">
        <v>348</v>
      </c>
      <c r="L51" t="s">
        <v>349</v>
      </c>
      <c r="M51" t="s">
        <v>32</v>
      </c>
      <c r="N51" t="s">
        <v>87</v>
      </c>
      <c r="O51" t="s">
        <v>34</v>
      </c>
      <c r="P51" t="s">
        <v>35</v>
      </c>
      <c r="Q51" t="s">
        <v>651</v>
      </c>
      <c r="R51" t="s">
        <v>36</v>
      </c>
      <c r="S51" s="2">
        <f>DATE(2017,4,1)</f>
        <v>42826</v>
      </c>
      <c r="T51" t="s">
        <v>125</v>
      </c>
      <c r="U51" t="s">
        <v>270</v>
      </c>
      <c r="V51" t="s">
        <v>345</v>
      </c>
      <c r="W51" t="s">
        <v>346</v>
      </c>
      <c r="X51" t="s">
        <v>347</v>
      </c>
      <c r="Y51" t="s">
        <v>608</v>
      </c>
      <c r="Z51" t="s">
        <v>609</v>
      </c>
      <c r="AA51" t="s">
        <v>610</v>
      </c>
    </row>
    <row r="52" spans="1:27" ht="17.45" customHeight="1" x14ac:dyDescent="0.2">
      <c r="A52" s="1">
        <v>55</v>
      </c>
      <c r="B52" s="1" t="s">
        <v>658</v>
      </c>
      <c r="C52" s="1">
        <v>55</v>
      </c>
      <c r="D52" t="s">
        <v>340</v>
      </c>
      <c r="E52" t="s">
        <v>341</v>
      </c>
      <c r="F52" t="s">
        <v>267</v>
      </c>
      <c r="G52" t="s">
        <v>41</v>
      </c>
      <c r="H52" s="1">
        <v>21</v>
      </c>
      <c r="I52" s="1">
        <v>11031</v>
      </c>
      <c r="J52" s="1">
        <v>1</v>
      </c>
      <c r="K52" t="s">
        <v>350</v>
      </c>
      <c r="L52" t="s">
        <v>351</v>
      </c>
      <c r="M52" t="s">
        <v>352</v>
      </c>
      <c r="N52" t="s">
        <v>33</v>
      </c>
      <c r="O52" t="s">
        <v>34</v>
      </c>
      <c r="P52" t="s">
        <v>35</v>
      </c>
      <c r="Q52" t="s">
        <v>651</v>
      </c>
      <c r="R52" t="s">
        <v>36</v>
      </c>
      <c r="S52" s="2">
        <f>DATE(2017,4,1)</f>
        <v>42826</v>
      </c>
      <c r="T52" t="s">
        <v>125</v>
      </c>
      <c r="U52" t="s">
        <v>270</v>
      </c>
      <c r="V52" t="s">
        <v>345</v>
      </c>
      <c r="W52" t="s">
        <v>346</v>
      </c>
      <c r="X52" t="s">
        <v>347</v>
      </c>
      <c r="Y52" t="s">
        <v>608</v>
      </c>
      <c r="Z52" t="s">
        <v>609</v>
      </c>
      <c r="AA52" t="s">
        <v>610</v>
      </c>
    </row>
    <row r="53" spans="1:27" ht="17.45" customHeight="1" x14ac:dyDescent="0.2">
      <c r="A53" s="1">
        <v>55</v>
      </c>
      <c r="B53" s="1" t="s">
        <v>658</v>
      </c>
      <c r="C53" s="1">
        <v>55</v>
      </c>
      <c r="D53" t="s">
        <v>353</v>
      </c>
      <c r="E53" t="s">
        <v>354</v>
      </c>
      <c r="F53" t="s">
        <v>329</v>
      </c>
      <c r="G53" t="s">
        <v>41</v>
      </c>
      <c r="H53" s="1">
        <v>26</v>
      </c>
      <c r="I53" s="1">
        <v>50066</v>
      </c>
      <c r="J53" s="1">
        <v>1</v>
      </c>
      <c r="K53" t="s">
        <v>355</v>
      </c>
      <c r="L53" t="s">
        <v>356</v>
      </c>
      <c r="M53" t="s">
        <v>357</v>
      </c>
      <c r="N53" t="s">
        <v>33</v>
      </c>
      <c r="O53" t="s">
        <v>81</v>
      </c>
      <c r="P53" t="s">
        <v>35</v>
      </c>
      <c r="Q53" t="s">
        <v>651</v>
      </c>
      <c r="R53" t="s">
        <v>36</v>
      </c>
      <c r="S53" s="2">
        <f>DATE(2024,8,14)</f>
        <v>45518</v>
      </c>
      <c r="T53" t="s">
        <v>125</v>
      </c>
      <c r="U53" t="s">
        <v>358</v>
      </c>
      <c r="V53" t="s">
        <v>359</v>
      </c>
      <c r="W53" t="s">
        <v>32</v>
      </c>
      <c r="X53" t="s">
        <v>360</v>
      </c>
      <c r="Y53" t="s">
        <v>611</v>
      </c>
      <c r="Z53" t="s">
        <v>32</v>
      </c>
      <c r="AA53" t="s">
        <v>32</v>
      </c>
    </row>
    <row r="54" spans="1:27" ht="17.45" customHeight="1" x14ac:dyDescent="0.2">
      <c r="A54" s="1">
        <v>55</v>
      </c>
      <c r="B54" s="1" t="s">
        <v>658</v>
      </c>
      <c r="C54" s="1">
        <v>55</v>
      </c>
      <c r="D54" t="s">
        <v>361</v>
      </c>
      <c r="E54" t="s">
        <v>362</v>
      </c>
      <c r="F54" t="s">
        <v>267</v>
      </c>
      <c r="G54" t="s">
        <v>41</v>
      </c>
      <c r="H54" s="1">
        <v>21</v>
      </c>
      <c r="I54" s="1">
        <v>55001</v>
      </c>
      <c r="J54" s="1">
        <v>1</v>
      </c>
      <c r="K54" t="s">
        <v>363</v>
      </c>
      <c r="L54" t="s">
        <v>32</v>
      </c>
      <c r="M54" t="s">
        <v>32</v>
      </c>
      <c r="N54" t="s">
        <v>33</v>
      </c>
      <c r="O54" t="s">
        <v>81</v>
      </c>
      <c r="P54" t="s">
        <v>35</v>
      </c>
      <c r="Q54" t="s">
        <v>651</v>
      </c>
      <c r="R54" t="s">
        <v>36</v>
      </c>
      <c r="S54" s="2">
        <f>DATE(2025,10,31)</f>
        <v>45961</v>
      </c>
      <c r="T54" t="s">
        <v>125</v>
      </c>
      <c r="U54" t="s">
        <v>364</v>
      </c>
      <c r="V54" t="s">
        <v>365</v>
      </c>
      <c r="X54" t="s">
        <v>366</v>
      </c>
      <c r="Y54" t="s">
        <v>612</v>
      </c>
      <c r="Z54" t="s">
        <v>605</v>
      </c>
      <c r="AA54" t="s">
        <v>613</v>
      </c>
    </row>
    <row r="55" spans="1:27" ht="17.45" customHeight="1" x14ac:dyDescent="0.2">
      <c r="A55" s="1">
        <v>56</v>
      </c>
      <c r="B55" s="1" t="s">
        <v>659</v>
      </c>
      <c r="C55" s="1">
        <v>56</v>
      </c>
      <c r="D55" t="s">
        <v>367</v>
      </c>
      <c r="E55" t="s">
        <v>368</v>
      </c>
      <c r="F55" t="s">
        <v>267</v>
      </c>
      <c r="G55" t="s">
        <v>41</v>
      </c>
      <c r="H55" s="1">
        <v>21</v>
      </c>
      <c r="I55" s="1">
        <v>11023</v>
      </c>
      <c r="J55" s="1">
        <v>1</v>
      </c>
      <c r="K55" t="s">
        <v>369</v>
      </c>
      <c r="L55" t="s">
        <v>370</v>
      </c>
      <c r="M55" t="s">
        <v>32</v>
      </c>
      <c r="N55" t="s">
        <v>371</v>
      </c>
      <c r="O55" t="s">
        <v>34</v>
      </c>
      <c r="P55" t="s">
        <v>35</v>
      </c>
      <c r="Q55" t="s">
        <v>651</v>
      </c>
      <c r="R55" t="s">
        <v>134</v>
      </c>
      <c r="S55" s="2">
        <f>DATE(2017,4,1)</f>
        <v>42826</v>
      </c>
      <c r="T55" t="s">
        <v>125</v>
      </c>
      <c r="U55" t="s">
        <v>270</v>
      </c>
      <c r="X55" t="s">
        <v>323</v>
      </c>
      <c r="Y55" t="s">
        <v>614</v>
      </c>
      <c r="Z55" t="s">
        <v>615</v>
      </c>
      <c r="AA55" t="s">
        <v>616</v>
      </c>
    </row>
    <row r="56" spans="1:27" ht="17.45" customHeight="1" x14ac:dyDescent="0.2">
      <c r="A56" s="1">
        <v>56</v>
      </c>
      <c r="B56" s="1" t="s">
        <v>659</v>
      </c>
      <c r="C56" s="1">
        <v>56</v>
      </c>
      <c r="D56" t="s">
        <v>367</v>
      </c>
      <c r="E56" t="s">
        <v>368</v>
      </c>
      <c r="F56" t="s">
        <v>267</v>
      </c>
      <c r="G56" t="s">
        <v>41</v>
      </c>
      <c r="H56" s="1">
        <v>21</v>
      </c>
      <c r="I56" s="1">
        <v>11074</v>
      </c>
      <c r="J56" s="1">
        <v>1</v>
      </c>
      <c r="K56" t="s">
        <v>372</v>
      </c>
      <c r="L56" t="s">
        <v>373</v>
      </c>
      <c r="M56" t="s">
        <v>32</v>
      </c>
      <c r="N56" t="s">
        <v>33</v>
      </c>
      <c r="O56" t="s">
        <v>34</v>
      </c>
      <c r="P56" t="s">
        <v>35</v>
      </c>
      <c r="Q56" t="s">
        <v>651</v>
      </c>
      <c r="R56" t="s">
        <v>134</v>
      </c>
      <c r="S56" s="2">
        <f>DATE(2021,10,19)</f>
        <v>44488</v>
      </c>
      <c r="T56" t="s">
        <v>125</v>
      </c>
      <c r="U56" t="s">
        <v>270</v>
      </c>
      <c r="X56" t="s">
        <v>323</v>
      </c>
      <c r="Y56" t="s">
        <v>617</v>
      </c>
      <c r="Z56" t="s">
        <v>615</v>
      </c>
      <c r="AA56" t="s">
        <v>616</v>
      </c>
    </row>
    <row r="57" spans="1:27" ht="17.45" customHeight="1" x14ac:dyDescent="0.2">
      <c r="A57" s="1">
        <v>56</v>
      </c>
      <c r="B57" s="1" t="s">
        <v>659</v>
      </c>
      <c r="C57" s="1">
        <v>56</v>
      </c>
      <c r="D57" t="s">
        <v>374</v>
      </c>
      <c r="E57" t="s">
        <v>375</v>
      </c>
      <c r="F57" t="s">
        <v>375</v>
      </c>
      <c r="G57" t="s">
        <v>261</v>
      </c>
      <c r="H57" s="1">
        <v>26</v>
      </c>
      <c r="I57" s="1">
        <v>50075</v>
      </c>
      <c r="J57" s="1">
        <v>1</v>
      </c>
      <c r="K57" t="s">
        <v>376</v>
      </c>
      <c r="L57" t="s">
        <v>377</v>
      </c>
      <c r="M57" t="s">
        <v>378</v>
      </c>
      <c r="N57" t="s">
        <v>33</v>
      </c>
      <c r="O57" t="s">
        <v>81</v>
      </c>
      <c r="P57" t="s">
        <v>35</v>
      </c>
      <c r="Q57" t="s">
        <v>652</v>
      </c>
      <c r="R57" t="s">
        <v>36</v>
      </c>
      <c r="S57" s="2">
        <f>DATE(2021,8,25)</f>
        <v>44433</v>
      </c>
      <c r="T57" t="s">
        <v>174</v>
      </c>
      <c r="U57" t="s">
        <v>379</v>
      </c>
      <c r="X57" t="s">
        <v>380</v>
      </c>
      <c r="Y57" t="s">
        <v>618</v>
      </c>
      <c r="Z57" t="s">
        <v>619</v>
      </c>
      <c r="AA57" t="s">
        <v>32</v>
      </c>
    </row>
    <row r="58" spans="1:27" ht="17.45" customHeight="1" x14ac:dyDescent="0.2">
      <c r="A58" s="1">
        <v>57</v>
      </c>
      <c r="B58" s="1" t="s">
        <v>660</v>
      </c>
      <c r="C58" s="1">
        <v>57</v>
      </c>
      <c r="D58" t="s">
        <v>381</v>
      </c>
      <c r="E58" t="s">
        <v>382</v>
      </c>
      <c r="F58" t="s">
        <v>267</v>
      </c>
      <c r="G58" t="s">
        <v>160</v>
      </c>
      <c r="H58" s="1">
        <v>21</v>
      </c>
      <c r="I58" s="1">
        <v>11047</v>
      </c>
      <c r="J58" s="1">
        <v>1</v>
      </c>
      <c r="K58" t="s">
        <v>383</v>
      </c>
      <c r="L58" t="s">
        <v>384</v>
      </c>
      <c r="M58" t="s">
        <v>385</v>
      </c>
      <c r="N58" t="s">
        <v>386</v>
      </c>
      <c r="O58" t="s">
        <v>34</v>
      </c>
      <c r="P58" t="s">
        <v>35</v>
      </c>
      <c r="Q58" t="s">
        <v>651</v>
      </c>
      <c r="R58" t="s">
        <v>36</v>
      </c>
      <c r="S58" s="2">
        <f>DATE(2017,4,1)</f>
        <v>42826</v>
      </c>
      <c r="T58" t="s">
        <v>125</v>
      </c>
      <c r="U58" t="s">
        <v>270</v>
      </c>
      <c r="X58" t="s">
        <v>277</v>
      </c>
      <c r="Y58" t="s">
        <v>620</v>
      </c>
      <c r="Z58" t="s">
        <v>621</v>
      </c>
      <c r="AA58" t="s">
        <v>622</v>
      </c>
    </row>
    <row r="59" spans="1:27" ht="17.45" customHeight="1" x14ac:dyDescent="0.2">
      <c r="A59" s="1">
        <v>10</v>
      </c>
      <c r="B59" s="1" t="s">
        <v>654</v>
      </c>
      <c r="C59" s="1">
        <v>10</v>
      </c>
      <c r="D59" t="s">
        <v>387</v>
      </c>
      <c r="E59" t="s">
        <v>388</v>
      </c>
      <c r="F59" t="s">
        <v>389</v>
      </c>
      <c r="G59" t="s">
        <v>51</v>
      </c>
      <c r="H59" s="1">
        <v>22</v>
      </c>
      <c r="I59" s="1">
        <v>10001</v>
      </c>
      <c r="J59" s="1">
        <v>1</v>
      </c>
      <c r="K59" t="s">
        <v>390</v>
      </c>
      <c r="L59" t="s">
        <v>343</v>
      </c>
      <c r="M59" t="s">
        <v>391</v>
      </c>
      <c r="N59" t="s">
        <v>392</v>
      </c>
      <c r="O59" t="s">
        <v>34</v>
      </c>
      <c r="P59" t="s">
        <v>35</v>
      </c>
      <c r="Q59" t="s">
        <v>652</v>
      </c>
      <c r="R59" t="s">
        <v>134</v>
      </c>
      <c r="S59" s="2">
        <f t="shared" ref="S59:S73" si="0">DATE(2017,4,1)</f>
        <v>42826</v>
      </c>
      <c r="T59" t="s">
        <v>55</v>
      </c>
      <c r="U59" t="s">
        <v>393</v>
      </c>
      <c r="V59" t="s">
        <v>394</v>
      </c>
      <c r="W59" t="s">
        <v>395</v>
      </c>
      <c r="X59" t="s">
        <v>396</v>
      </c>
      <c r="Y59" t="s">
        <v>623</v>
      </c>
      <c r="Z59" t="s">
        <v>624</v>
      </c>
      <c r="AA59" t="s">
        <v>32</v>
      </c>
    </row>
    <row r="60" spans="1:27" ht="17.45" customHeight="1" x14ac:dyDescent="0.2">
      <c r="A60" s="1">
        <v>10</v>
      </c>
      <c r="B60" s="1" t="s">
        <v>654</v>
      </c>
      <c r="C60" s="1">
        <v>10</v>
      </c>
      <c r="D60" t="s">
        <v>387</v>
      </c>
      <c r="E60" t="s">
        <v>388</v>
      </c>
      <c r="F60" t="s">
        <v>389</v>
      </c>
      <c r="G60" t="s">
        <v>51</v>
      </c>
      <c r="H60" s="1">
        <v>22</v>
      </c>
      <c r="I60" s="1">
        <v>10002</v>
      </c>
      <c r="J60" s="1">
        <v>1</v>
      </c>
      <c r="K60" t="s">
        <v>397</v>
      </c>
      <c r="L60" t="s">
        <v>398</v>
      </c>
      <c r="M60" t="s">
        <v>399</v>
      </c>
      <c r="N60" t="s">
        <v>400</v>
      </c>
      <c r="O60" t="s">
        <v>34</v>
      </c>
      <c r="P60" t="s">
        <v>35</v>
      </c>
      <c r="Q60" t="s">
        <v>652</v>
      </c>
      <c r="R60" t="s">
        <v>134</v>
      </c>
      <c r="S60" s="2">
        <f t="shared" si="0"/>
        <v>42826</v>
      </c>
      <c r="T60" t="s">
        <v>55</v>
      </c>
      <c r="U60" t="s">
        <v>401</v>
      </c>
      <c r="V60" t="s">
        <v>402</v>
      </c>
      <c r="X60" t="s">
        <v>403</v>
      </c>
      <c r="Y60" t="s">
        <v>625</v>
      </c>
      <c r="Z60" t="s">
        <v>624</v>
      </c>
      <c r="AA60" t="s">
        <v>32</v>
      </c>
    </row>
    <row r="61" spans="1:27" ht="17.45" customHeight="1" x14ac:dyDescent="0.2">
      <c r="A61" s="1">
        <v>10</v>
      </c>
      <c r="B61" s="1" t="s">
        <v>654</v>
      </c>
      <c r="C61" s="1">
        <v>10</v>
      </c>
      <c r="D61" t="s">
        <v>387</v>
      </c>
      <c r="E61" t="s">
        <v>388</v>
      </c>
      <c r="F61" t="s">
        <v>389</v>
      </c>
      <c r="G61" t="s">
        <v>51</v>
      </c>
      <c r="H61" s="1">
        <v>22</v>
      </c>
      <c r="I61" s="1">
        <v>10003</v>
      </c>
      <c r="J61" s="1">
        <v>1</v>
      </c>
      <c r="K61" t="s">
        <v>404</v>
      </c>
      <c r="L61" t="s">
        <v>405</v>
      </c>
      <c r="M61" t="s">
        <v>32</v>
      </c>
      <c r="N61" t="s">
        <v>406</v>
      </c>
      <c r="O61" t="s">
        <v>34</v>
      </c>
      <c r="P61" t="s">
        <v>35</v>
      </c>
      <c r="Q61" t="s">
        <v>652</v>
      </c>
      <c r="R61" t="s">
        <v>134</v>
      </c>
      <c r="S61" s="2">
        <f t="shared" si="0"/>
        <v>42826</v>
      </c>
      <c r="T61" t="s">
        <v>55</v>
      </c>
      <c r="U61" t="s">
        <v>407</v>
      </c>
      <c r="V61" t="s">
        <v>408</v>
      </c>
      <c r="X61" t="s">
        <v>409</v>
      </c>
      <c r="Y61" t="s">
        <v>626</v>
      </c>
      <c r="Z61" t="s">
        <v>624</v>
      </c>
      <c r="AA61" t="s">
        <v>32</v>
      </c>
    </row>
    <row r="62" spans="1:27" ht="17.45" customHeight="1" x14ac:dyDescent="0.2">
      <c r="A62" s="1">
        <v>10</v>
      </c>
      <c r="B62" s="1" t="s">
        <v>654</v>
      </c>
      <c r="C62" s="1">
        <v>10</v>
      </c>
      <c r="D62" t="s">
        <v>387</v>
      </c>
      <c r="E62" t="s">
        <v>388</v>
      </c>
      <c r="F62" t="s">
        <v>389</v>
      </c>
      <c r="G62" t="s">
        <v>51</v>
      </c>
      <c r="H62" s="1">
        <v>22</v>
      </c>
      <c r="I62" s="1">
        <v>10004</v>
      </c>
      <c r="J62" s="1">
        <v>1</v>
      </c>
      <c r="K62" t="s">
        <v>410</v>
      </c>
      <c r="L62" t="s">
        <v>411</v>
      </c>
      <c r="M62" t="s">
        <v>412</v>
      </c>
      <c r="N62" t="s">
        <v>413</v>
      </c>
      <c r="O62" t="s">
        <v>34</v>
      </c>
      <c r="P62" t="s">
        <v>35</v>
      </c>
      <c r="Q62" t="s">
        <v>652</v>
      </c>
      <c r="R62" t="s">
        <v>134</v>
      </c>
      <c r="S62" s="2">
        <f t="shared" si="0"/>
        <v>42826</v>
      </c>
      <c r="T62" t="s">
        <v>55</v>
      </c>
      <c r="U62" t="s">
        <v>414</v>
      </c>
      <c r="V62" t="s">
        <v>415</v>
      </c>
      <c r="X62" t="s">
        <v>416</v>
      </c>
      <c r="Y62" t="s">
        <v>627</v>
      </c>
      <c r="Z62" t="s">
        <v>624</v>
      </c>
      <c r="AA62" t="s">
        <v>32</v>
      </c>
    </row>
    <row r="63" spans="1:27" ht="17.45" customHeight="1" x14ac:dyDescent="0.2">
      <c r="A63" s="1">
        <v>10</v>
      </c>
      <c r="B63" s="1" t="s">
        <v>654</v>
      </c>
      <c r="C63" s="1">
        <v>10</v>
      </c>
      <c r="D63" t="s">
        <v>387</v>
      </c>
      <c r="E63" t="s">
        <v>388</v>
      </c>
      <c r="F63" t="s">
        <v>389</v>
      </c>
      <c r="G63" t="s">
        <v>51</v>
      </c>
      <c r="H63" s="1">
        <v>22</v>
      </c>
      <c r="I63" s="1">
        <v>10005</v>
      </c>
      <c r="J63" s="1">
        <v>1</v>
      </c>
      <c r="K63" t="s">
        <v>417</v>
      </c>
      <c r="L63" t="s">
        <v>418</v>
      </c>
      <c r="M63" t="s">
        <v>32</v>
      </c>
      <c r="N63" t="s">
        <v>419</v>
      </c>
      <c r="O63" t="s">
        <v>81</v>
      </c>
      <c r="P63" t="s">
        <v>35</v>
      </c>
      <c r="Q63" t="s">
        <v>652</v>
      </c>
      <c r="R63" t="s">
        <v>134</v>
      </c>
      <c r="S63" s="2">
        <f t="shared" si="0"/>
        <v>42826</v>
      </c>
      <c r="T63" t="s">
        <v>55</v>
      </c>
      <c r="U63" t="s">
        <v>420</v>
      </c>
      <c r="V63" t="s">
        <v>421</v>
      </c>
      <c r="X63" t="s">
        <v>422</v>
      </c>
      <c r="Y63" t="s">
        <v>628</v>
      </c>
      <c r="Z63" t="s">
        <v>624</v>
      </c>
      <c r="AA63" t="s">
        <v>32</v>
      </c>
    </row>
    <row r="64" spans="1:27" ht="17.45" customHeight="1" x14ac:dyDescent="0.2">
      <c r="A64" s="1">
        <v>10</v>
      </c>
      <c r="B64" s="1" t="s">
        <v>654</v>
      </c>
      <c r="C64" s="1">
        <v>10</v>
      </c>
      <c r="D64" t="s">
        <v>387</v>
      </c>
      <c r="E64" t="s">
        <v>388</v>
      </c>
      <c r="F64" t="s">
        <v>389</v>
      </c>
      <c r="G64" t="s">
        <v>51</v>
      </c>
      <c r="H64" s="1">
        <v>22</v>
      </c>
      <c r="I64" s="1">
        <v>10006</v>
      </c>
      <c r="J64" s="1">
        <v>1</v>
      </c>
      <c r="K64" t="s">
        <v>423</v>
      </c>
      <c r="L64" t="s">
        <v>424</v>
      </c>
      <c r="M64" t="s">
        <v>32</v>
      </c>
      <c r="N64" t="s">
        <v>425</v>
      </c>
      <c r="O64" t="s">
        <v>34</v>
      </c>
      <c r="P64" t="s">
        <v>35</v>
      </c>
      <c r="Q64" t="s">
        <v>652</v>
      </c>
      <c r="R64" t="s">
        <v>134</v>
      </c>
      <c r="S64" s="2">
        <f t="shared" si="0"/>
        <v>42826</v>
      </c>
      <c r="T64" t="s">
        <v>55</v>
      </c>
      <c r="U64" t="s">
        <v>426</v>
      </c>
      <c r="V64" t="s">
        <v>427</v>
      </c>
      <c r="W64" t="s">
        <v>428</v>
      </c>
      <c r="X64" t="s">
        <v>429</v>
      </c>
      <c r="Y64" t="s">
        <v>629</v>
      </c>
      <c r="Z64" t="s">
        <v>624</v>
      </c>
      <c r="AA64" t="s">
        <v>32</v>
      </c>
    </row>
    <row r="65" spans="1:27" ht="17.45" customHeight="1" x14ac:dyDescent="0.2">
      <c r="A65" s="1">
        <v>10</v>
      </c>
      <c r="B65" s="1" t="s">
        <v>654</v>
      </c>
      <c r="C65" s="1">
        <v>10</v>
      </c>
      <c r="D65" t="s">
        <v>387</v>
      </c>
      <c r="E65" t="s">
        <v>388</v>
      </c>
      <c r="F65" t="s">
        <v>389</v>
      </c>
      <c r="G65" t="s">
        <v>51</v>
      </c>
      <c r="H65" s="1">
        <v>22</v>
      </c>
      <c r="I65" s="1">
        <v>10007</v>
      </c>
      <c r="J65" s="1">
        <v>1</v>
      </c>
      <c r="K65" t="s">
        <v>430</v>
      </c>
      <c r="L65" t="s">
        <v>431</v>
      </c>
      <c r="M65" t="s">
        <v>432</v>
      </c>
      <c r="N65" t="s">
        <v>433</v>
      </c>
      <c r="O65" t="s">
        <v>34</v>
      </c>
      <c r="P65" t="s">
        <v>35</v>
      </c>
      <c r="Q65" t="s">
        <v>652</v>
      </c>
      <c r="R65" t="s">
        <v>134</v>
      </c>
      <c r="S65" s="2">
        <f t="shared" si="0"/>
        <v>42826</v>
      </c>
      <c r="T65" t="s">
        <v>55</v>
      </c>
      <c r="U65" t="s">
        <v>434</v>
      </c>
      <c r="V65" t="s">
        <v>435</v>
      </c>
      <c r="X65" t="s">
        <v>436</v>
      </c>
      <c r="Y65" t="s">
        <v>630</v>
      </c>
      <c r="Z65" t="s">
        <v>624</v>
      </c>
      <c r="AA65" t="s">
        <v>32</v>
      </c>
    </row>
    <row r="66" spans="1:27" ht="17.45" customHeight="1" x14ac:dyDescent="0.2">
      <c r="A66" s="1">
        <v>10</v>
      </c>
      <c r="B66" s="1" t="s">
        <v>654</v>
      </c>
      <c r="C66" s="1">
        <v>10</v>
      </c>
      <c r="D66" t="s">
        <v>387</v>
      </c>
      <c r="E66" t="s">
        <v>388</v>
      </c>
      <c r="F66" t="s">
        <v>389</v>
      </c>
      <c r="G66" t="s">
        <v>51</v>
      </c>
      <c r="H66" s="1">
        <v>22</v>
      </c>
      <c r="I66" s="1">
        <v>10008</v>
      </c>
      <c r="J66" s="1">
        <v>1</v>
      </c>
      <c r="K66" t="s">
        <v>437</v>
      </c>
      <c r="L66" t="s">
        <v>438</v>
      </c>
      <c r="M66" t="s">
        <v>439</v>
      </c>
      <c r="N66" t="s">
        <v>440</v>
      </c>
      <c r="O66" t="s">
        <v>34</v>
      </c>
      <c r="P66" t="s">
        <v>35</v>
      </c>
      <c r="Q66" t="s">
        <v>652</v>
      </c>
      <c r="R66" t="s">
        <v>134</v>
      </c>
      <c r="S66" s="2">
        <f t="shared" si="0"/>
        <v>42826</v>
      </c>
      <c r="T66" t="s">
        <v>55</v>
      </c>
      <c r="U66" t="s">
        <v>441</v>
      </c>
      <c r="V66" t="s">
        <v>442</v>
      </c>
      <c r="X66" t="s">
        <v>443</v>
      </c>
      <c r="Y66" t="s">
        <v>631</v>
      </c>
      <c r="Z66" t="s">
        <v>624</v>
      </c>
      <c r="AA66" t="s">
        <v>32</v>
      </c>
    </row>
    <row r="67" spans="1:27" ht="17.45" customHeight="1" x14ac:dyDescent="0.2">
      <c r="A67" s="1">
        <v>10</v>
      </c>
      <c r="B67" s="1" t="s">
        <v>654</v>
      </c>
      <c r="C67" s="1">
        <v>10</v>
      </c>
      <c r="D67" t="s">
        <v>387</v>
      </c>
      <c r="E67" t="s">
        <v>388</v>
      </c>
      <c r="F67" t="s">
        <v>389</v>
      </c>
      <c r="G67" t="s">
        <v>51</v>
      </c>
      <c r="H67" s="1">
        <v>22</v>
      </c>
      <c r="I67" s="1">
        <v>10009</v>
      </c>
      <c r="J67" s="1">
        <v>1</v>
      </c>
      <c r="K67" t="s">
        <v>444</v>
      </c>
      <c r="L67" t="s">
        <v>445</v>
      </c>
      <c r="M67" t="s">
        <v>446</v>
      </c>
      <c r="N67" t="s">
        <v>447</v>
      </c>
      <c r="O67" t="s">
        <v>81</v>
      </c>
      <c r="P67" t="s">
        <v>35</v>
      </c>
      <c r="Q67" t="s">
        <v>652</v>
      </c>
      <c r="R67" t="s">
        <v>134</v>
      </c>
      <c r="S67" s="2">
        <f t="shared" si="0"/>
        <v>42826</v>
      </c>
      <c r="T67" t="s">
        <v>55</v>
      </c>
      <c r="U67" t="s">
        <v>448</v>
      </c>
      <c r="X67" t="s">
        <v>449</v>
      </c>
      <c r="Y67" t="s">
        <v>632</v>
      </c>
      <c r="Z67" t="s">
        <v>624</v>
      </c>
      <c r="AA67" t="s">
        <v>32</v>
      </c>
    </row>
    <row r="68" spans="1:27" ht="17.45" customHeight="1" x14ac:dyDescent="0.2">
      <c r="A68" s="1">
        <v>10</v>
      </c>
      <c r="B68" s="1" t="s">
        <v>654</v>
      </c>
      <c r="C68" s="1">
        <v>10</v>
      </c>
      <c r="D68" t="s">
        <v>387</v>
      </c>
      <c r="E68" t="s">
        <v>388</v>
      </c>
      <c r="F68" t="s">
        <v>389</v>
      </c>
      <c r="G68" t="s">
        <v>51</v>
      </c>
      <c r="H68" s="1">
        <v>22</v>
      </c>
      <c r="I68" s="1">
        <v>10010</v>
      </c>
      <c r="J68" s="1">
        <v>1</v>
      </c>
      <c r="K68" t="s">
        <v>450</v>
      </c>
      <c r="L68" t="s">
        <v>451</v>
      </c>
      <c r="M68" t="s">
        <v>452</v>
      </c>
      <c r="N68" t="s">
        <v>453</v>
      </c>
      <c r="O68" t="s">
        <v>34</v>
      </c>
      <c r="P68" t="s">
        <v>35</v>
      </c>
      <c r="Q68" t="s">
        <v>652</v>
      </c>
      <c r="R68" t="s">
        <v>134</v>
      </c>
      <c r="S68" s="2">
        <f t="shared" si="0"/>
        <v>42826</v>
      </c>
      <c r="T68" t="s">
        <v>55</v>
      </c>
      <c r="U68" t="s">
        <v>454</v>
      </c>
      <c r="V68" t="s">
        <v>455</v>
      </c>
      <c r="X68" t="s">
        <v>456</v>
      </c>
      <c r="Y68" t="s">
        <v>633</v>
      </c>
      <c r="Z68" t="s">
        <v>624</v>
      </c>
      <c r="AA68" t="s">
        <v>32</v>
      </c>
    </row>
    <row r="69" spans="1:27" ht="17.45" customHeight="1" x14ac:dyDescent="0.2">
      <c r="A69" s="1">
        <v>10</v>
      </c>
      <c r="B69" s="1" t="s">
        <v>654</v>
      </c>
      <c r="C69" s="1">
        <v>10</v>
      </c>
      <c r="D69" t="s">
        <v>387</v>
      </c>
      <c r="E69" t="s">
        <v>388</v>
      </c>
      <c r="F69" t="s">
        <v>389</v>
      </c>
      <c r="G69" t="s">
        <v>51</v>
      </c>
      <c r="H69" s="1">
        <v>22</v>
      </c>
      <c r="I69" s="1">
        <v>10011</v>
      </c>
      <c r="J69" s="1">
        <v>1</v>
      </c>
      <c r="K69" t="s">
        <v>457</v>
      </c>
      <c r="L69" t="s">
        <v>458</v>
      </c>
      <c r="M69" t="s">
        <v>32</v>
      </c>
      <c r="N69" t="s">
        <v>459</v>
      </c>
      <c r="O69" t="s">
        <v>34</v>
      </c>
      <c r="P69" t="s">
        <v>35</v>
      </c>
      <c r="Q69" t="s">
        <v>652</v>
      </c>
      <c r="R69" t="s">
        <v>134</v>
      </c>
      <c r="S69" s="2">
        <f t="shared" si="0"/>
        <v>42826</v>
      </c>
      <c r="T69" t="s">
        <v>55</v>
      </c>
      <c r="U69" t="s">
        <v>460</v>
      </c>
      <c r="V69" t="s">
        <v>461</v>
      </c>
      <c r="X69" t="s">
        <v>462</v>
      </c>
      <c r="Y69" t="s">
        <v>634</v>
      </c>
      <c r="Z69" t="s">
        <v>624</v>
      </c>
      <c r="AA69" t="s">
        <v>32</v>
      </c>
    </row>
    <row r="70" spans="1:27" ht="17.45" customHeight="1" x14ac:dyDescent="0.2">
      <c r="A70" s="1">
        <v>10</v>
      </c>
      <c r="B70" s="1" t="s">
        <v>654</v>
      </c>
      <c r="C70" s="1">
        <v>10</v>
      </c>
      <c r="D70" t="s">
        <v>387</v>
      </c>
      <c r="E70" t="s">
        <v>388</v>
      </c>
      <c r="F70" t="s">
        <v>389</v>
      </c>
      <c r="G70" t="s">
        <v>51</v>
      </c>
      <c r="H70" s="1">
        <v>22</v>
      </c>
      <c r="I70" s="1">
        <v>10012</v>
      </c>
      <c r="J70" s="1">
        <v>1</v>
      </c>
      <c r="K70" t="s">
        <v>463</v>
      </c>
      <c r="L70" t="s">
        <v>464</v>
      </c>
      <c r="M70" t="s">
        <v>32</v>
      </c>
      <c r="N70" t="s">
        <v>465</v>
      </c>
      <c r="O70" t="s">
        <v>81</v>
      </c>
      <c r="P70" t="s">
        <v>35</v>
      </c>
      <c r="Q70" t="s">
        <v>652</v>
      </c>
      <c r="R70" t="s">
        <v>134</v>
      </c>
      <c r="S70" s="2">
        <f t="shared" si="0"/>
        <v>42826</v>
      </c>
      <c r="T70" t="s">
        <v>55</v>
      </c>
      <c r="U70" t="s">
        <v>466</v>
      </c>
      <c r="V70" t="s">
        <v>467</v>
      </c>
      <c r="W70" t="s">
        <v>468</v>
      </c>
      <c r="X70" t="s">
        <v>469</v>
      </c>
      <c r="Y70" t="s">
        <v>635</v>
      </c>
      <c r="Z70" t="s">
        <v>624</v>
      </c>
      <c r="AA70" t="s">
        <v>32</v>
      </c>
    </row>
    <row r="71" spans="1:27" ht="17.45" customHeight="1" x14ac:dyDescent="0.2">
      <c r="A71" s="1">
        <v>10</v>
      </c>
      <c r="B71" s="1" t="s">
        <v>654</v>
      </c>
      <c r="C71" s="1">
        <v>10</v>
      </c>
      <c r="D71" t="s">
        <v>387</v>
      </c>
      <c r="E71" t="s">
        <v>388</v>
      </c>
      <c r="F71" t="s">
        <v>389</v>
      </c>
      <c r="G71" t="s">
        <v>51</v>
      </c>
      <c r="H71" s="1">
        <v>22</v>
      </c>
      <c r="I71" s="1">
        <v>10013</v>
      </c>
      <c r="J71" s="1">
        <v>1</v>
      </c>
      <c r="K71" t="s">
        <v>470</v>
      </c>
      <c r="L71" t="s">
        <v>471</v>
      </c>
      <c r="M71" t="s">
        <v>472</v>
      </c>
      <c r="N71" t="s">
        <v>473</v>
      </c>
      <c r="O71" t="s">
        <v>34</v>
      </c>
      <c r="P71" t="s">
        <v>35</v>
      </c>
      <c r="Q71" t="s">
        <v>652</v>
      </c>
      <c r="R71" t="s">
        <v>134</v>
      </c>
      <c r="S71" s="2">
        <f t="shared" si="0"/>
        <v>42826</v>
      </c>
      <c r="T71" t="s">
        <v>55</v>
      </c>
      <c r="U71" t="s">
        <v>474</v>
      </c>
      <c r="V71" t="s">
        <v>475</v>
      </c>
      <c r="X71" t="s">
        <v>476</v>
      </c>
      <c r="Y71" t="s">
        <v>636</v>
      </c>
      <c r="Z71" t="s">
        <v>624</v>
      </c>
      <c r="AA71" t="s">
        <v>32</v>
      </c>
    </row>
    <row r="72" spans="1:27" ht="17.45" customHeight="1" x14ac:dyDescent="0.2">
      <c r="A72" s="1">
        <v>10</v>
      </c>
      <c r="B72" s="1" t="s">
        <v>654</v>
      </c>
      <c r="C72" s="1">
        <v>10</v>
      </c>
      <c r="D72" t="s">
        <v>387</v>
      </c>
      <c r="E72" t="s">
        <v>388</v>
      </c>
      <c r="F72" t="s">
        <v>389</v>
      </c>
      <c r="G72" t="s">
        <v>51</v>
      </c>
      <c r="H72" s="1">
        <v>22</v>
      </c>
      <c r="I72" s="1">
        <v>10014</v>
      </c>
      <c r="J72" s="1">
        <v>1</v>
      </c>
      <c r="K72" t="s">
        <v>477</v>
      </c>
      <c r="L72" t="s">
        <v>478</v>
      </c>
      <c r="M72" t="s">
        <v>479</v>
      </c>
      <c r="N72" t="s">
        <v>33</v>
      </c>
      <c r="O72" t="s">
        <v>34</v>
      </c>
      <c r="P72" t="s">
        <v>35</v>
      </c>
      <c r="Q72" t="s">
        <v>652</v>
      </c>
      <c r="R72" t="s">
        <v>134</v>
      </c>
      <c r="S72" s="2">
        <f t="shared" si="0"/>
        <v>42826</v>
      </c>
      <c r="T72" t="s">
        <v>55</v>
      </c>
      <c r="U72" t="s">
        <v>480</v>
      </c>
      <c r="V72" t="s">
        <v>481</v>
      </c>
      <c r="X72" t="s">
        <v>482</v>
      </c>
      <c r="Y72" t="s">
        <v>637</v>
      </c>
      <c r="Z72" t="s">
        <v>624</v>
      </c>
      <c r="AA72" t="s">
        <v>32</v>
      </c>
    </row>
    <row r="73" spans="1:27" ht="17.45" customHeight="1" x14ac:dyDescent="0.2">
      <c r="A73" s="1">
        <v>10</v>
      </c>
      <c r="B73" s="1" t="s">
        <v>654</v>
      </c>
      <c r="C73" s="1">
        <v>10</v>
      </c>
      <c r="D73" t="s">
        <v>387</v>
      </c>
      <c r="E73" t="s">
        <v>388</v>
      </c>
      <c r="F73" t="s">
        <v>389</v>
      </c>
      <c r="G73" t="s">
        <v>51</v>
      </c>
      <c r="H73" s="1">
        <v>22</v>
      </c>
      <c r="I73" s="1">
        <v>10015</v>
      </c>
      <c r="J73" s="1">
        <v>1</v>
      </c>
      <c r="K73" t="s">
        <v>483</v>
      </c>
      <c r="L73" t="s">
        <v>484</v>
      </c>
      <c r="M73" t="s">
        <v>32</v>
      </c>
      <c r="N73" t="s">
        <v>485</v>
      </c>
      <c r="O73" t="s">
        <v>34</v>
      </c>
      <c r="P73" t="s">
        <v>35</v>
      </c>
      <c r="Q73" t="s">
        <v>652</v>
      </c>
      <c r="R73" t="s">
        <v>134</v>
      </c>
      <c r="S73" s="2">
        <f t="shared" si="0"/>
        <v>42826</v>
      </c>
      <c r="T73" t="s">
        <v>55</v>
      </c>
      <c r="U73" t="s">
        <v>486</v>
      </c>
      <c r="V73" t="s">
        <v>487</v>
      </c>
      <c r="W73" t="s">
        <v>488</v>
      </c>
      <c r="X73" t="s">
        <v>489</v>
      </c>
      <c r="Y73" t="s">
        <v>638</v>
      </c>
      <c r="Z73" t="s">
        <v>624</v>
      </c>
      <c r="AA73" t="s">
        <v>32</v>
      </c>
    </row>
    <row r="74" spans="1:27" ht="17.45" customHeight="1" x14ac:dyDescent="0.2">
      <c r="A74" s="1">
        <v>10</v>
      </c>
      <c r="B74" s="1" t="s">
        <v>654</v>
      </c>
      <c r="C74" s="1">
        <v>10</v>
      </c>
      <c r="D74" t="s">
        <v>387</v>
      </c>
      <c r="E74" t="s">
        <v>388</v>
      </c>
      <c r="F74" t="s">
        <v>389</v>
      </c>
      <c r="G74" t="s">
        <v>51</v>
      </c>
      <c r="H74" s="1">
        <v>22</v>
      </c>
      <c r="I74" s="1">
        <v>10029</v>
      </c>
      <c r="J74" s="1">
        <v>1</v>
      </c>
      <c r="K74" t="s">
        <v>490</v>
      </c>
      <c r="L74" t="s">
        <v>491</v>
      </c>
      <c r="M74" t="s">
        <v>32</v>
      </c>
      <c r="N74" t="s">
        <v>492</v>
      </c>
      <c r="O74" t="s">
        <v>34</v>
      </c>
      <c r="P74" t="s">
        <v>35</v>
      </c>
      <c r="Q74" t="s">
        <v>652</v>
      </c>
      <c r="R74" t="s">
        <v>134</v>
      </c>
      <c r="S74" s="2">
        <f>DATE(2017,4,5)</f>
        <v>42830</v>
      </c>
      <c r="T74" t="s">
        <v>55</v>
      </c>
      <c r="U74" t="s">
        <v>493</v>
      </c>
      <c r="W74" t="s">
        <v>32</v>
      </c>
      <c r="X74" t="s">
        <v>494</v>
      </c>
      <c r="Y74" t="s">
        <v>639</v>
      </c>
      <c r="Z74" t="s">
        <v>624</v>
      </c>
      <c r="AA74" t="s">
        <v>32</v>
      </c>
    </row>
    <row r="75" spans="1:27" ht="17.45" customHeight="1" x14ac:dyDescent="0.2">
      <c r="A75" s="1">
        <v>10</v>
      </c>
      <c r="B75" s="1" t="s">
        <v>654</v>
      </c>
      <c r="C75" s="1">
        <v>10</v>
      </c>
      <c r="D75" t="s">
        <v>387</v>
      </c>
      <c r="E75" t="s">
        <v>388</v>
      </c>
      <c r="F75" t="s">
        <v>389</v>
      </c>
      <c r="G75" t="s">
        <v>51</v>
      </c>
      <c r="H75" s="1">
        <v>22</v>
      </c>
      <c r="I75" s="1">
        <v>10040</v>
      </c>
      <c r="J75" s="1">
        <v>1</v>
      </c>
      <c r="K75" t="s">
        <v>495</v>
      </c>
      <c r="L75" t="s">
        <v>496</v>
      </c>
      <c r="M75" t="s">
        <v>497</v>
      </c>
      <c r="N75" t="s">
        <v>498</v>
      </c>
      <c r="O75" t="s">
        <v>499</v>
      </c>
      <c r="P75" t="s">
        <v>35</v>
      </c>
      <c r="Q75" t="s">
        <v>652</v>
      </c>
      <c r="R75" t="s">
        <v>134</v>
      </c>
      <c r="S75" s="2">
        <f>DATE(2017,6,29)</f>
        <v>42915</v>
      </c>
      <c r="T75" t="s">
        <v>55</v>
      </c>
      <c r="U75" t="s">
        <v>500</v>
      </c>
      <c r="V75" t="s">
        <v>501</v>
      </c>
      <c r="W75" t="s">
        <v>32</v>
      </c>
      <c r="X75" t="s">
        <v>502</v>
      </c>
      <c r="Y75" t="s">
        <v>640</v>
      </c>
      <c r="Z75" t="s">
        <v>624</v>
      </c>
      <c r="AA75" t="s">
        <v>32</v>
      </c>
    </row>
    <row r="76" spans="1:27" ht="17.45" customHeight="1" x14ac:dyDescent="0.2">
      <c r="A76" s="1">
        <v>10</v>
      </c>
      <c r="B76" s="1" t="s">
        <v>654</v>
      </c>
      <c r="C76" s="1">
        <v>10</v>
      </c>
      <c r="D76" t="s">
        <v>387</v>
      </c>
      <c r="E76" t="s">
        <v>388</v>
      </c>
      <c r="F76" t="s">
        <v>389</v>
      </c>
      <c r="G76" t="s">
        <v>51</v>
      </c>
      <c r="H76" s="1">
        <v>22</v>
      </c>
      <c r="I76" s="1">
        <v>10041</v>
      </c>
      <c r="J76" s="1">
        <v>1</v>
      </c>
      <c r="K76" t="s">
        <v>503</v>
      </c>
      <c r="L76" t="s">
        <v>504</v>
      </c>
      <c r="M76" t="s">
        <v>505</v>
      </c>
      <c r="N76" t="s">
        <v>498</v>
      </c>
      <c r="O76" t="s">
        <v>499</v>
      </c>
      <c r="P76" t="s">
        <v>35</v>
      </c>
      <c r="Q76" t="s">
        <v>652</v>
      </c>
      <c r="R76" t="s">
        <v>134</v>
      </c>
      <c r="S76" s="2">
        <f>DATE(2017,9,15)</f>
        <v>42993</v>
      </c>
      <c r="T76" t="s">
        <v>55</v>
      </c>
      <c r="X76" t="s">
        <v>506</v>
      </c>
      <c r="Y76" t="s">
        <v>641</v>
      </c>
      <c r="Z76" t="s">
        <v>624</v>
      </c>
      <c r="AA76" t="s">
        <v>32</v>
      </c>
    </row>
    <row r="77" spans="1:27" ht="17.45" customHeight="1" x14ac:dyDescent="0.2">
      <c r="A77" s="1">
        <v>10</v>
      </c>
      <c r="B77" s="1" t="s">
        <v>654</v>
      </c>
      <c r="C77" s="1">
        <v>10</v>
      </c>
      <c r="D77" t="s">
        <v>387</v>
      </c>
      <c r="E77" t="s">
        <v>388</v>
      </c>
      <c r="F77" t="s">
        <v>389</v>
      </c>
      <c r="G77" t="s">
        <v>51</v>
      </c>
      <c r="H77" s="1">
        <v>22</v>
      </c>
      <c r="I77" s="1">
        <v>10047</v>
      </c>
      <c r="J77" s="1">
        <v>1</v>
      </c>
      <c r="K77" t="s">
        <v>507</v>
      </c>
      <c r="L77" t="s">
        <v>508</v>
      </c>
      <c r="M77" t="s">
        <v>32</v>
      </c>
      <c r="N77" t="s">
        <v>509</v>
      </c>
      <c r="O77" t="s">
        <v>81</v>
      </c>
      <c r="P77" t="s">
        <v>35</v>
      </c>
      <c r="Q77" t="s">
        <v>652</v>
      </c>
      <c r="R77" t="s">
        <v>134</v>
      </c>
      <c r="S77" s="2">
        <f>DATE(2019,11,4)</f>
        <v>43773</v>
      </c>
      <c r="T77" t="s">
        <v>55</v>
      </c>
      <c r="U77" t="s">
        <v>32</v>
      </c>
      <c r="V77" t="s">
        <v>32</v>
      </c>
      <c r="W77" t="s">
        <v>32</v>
      </c>
      <c r="X77" t="s">
        <v>510</v>
      </c>
      <c r="Y77" t="s">
        <v>642</v>
      </c>
      <c r="Z77" t="s">
        <v>624</v>
      </c>
      <c r="AA77" t="s">
        <v>32</v>
      </c>
    </row>
    <row r="78" spans="1:27" ht="17.45" customHeight="1" x14ac:dyDescent="0.2">
      <c r="A78" s="1">
        <v>10</v>
      </c>
      <c r="B78" s="1" t="s">
        <v>654</v>
      </c>
      <c r="C78" s="1">
        <v>10</v>
      </c>
      <c r="D78" t="s">
        <v>387</v>
      </c>
      <c r="E78" t="s">
        <v>388</v>
      </c>
      <c r="F78" t="s">
        <v>389</v>
      </c>
      <c r="G78" t="s">
        <v>51</v>
      </c>
      <c r="H78" s="1">
        <v>22</v>
      </c>
      <c r="I78" s="1">
        <v>10048</v>
      </c>
      <c r="J78" s="1">
        <v>1</v>
      </c>
      <c r="K78" t="s">
        <v>511</v>
      </c>
      <c r="L78" t="s">
        <v>512</v>
      </c>
      <c r="M78" t="s">
        <v>513</v>
      </c>
      <c r="N78" t="s">
        <v>33</v>
      </c>
      <c r="O78" t="s">
        <v>81</v>
      </c>
      <c r="P78" t="s">
        <v>35</v>
      </c>
      <c r="Q78" t="s">
        <v>652</v>
      </c>
      <c r="R78" t="s">
        <v>134</v>
      </c>
      <c r="S78" s="2">
        <f>DATE(2019,11,18)</f>
        <v>43787</v>
      </c>
      <c r="T78" t="s">
        <v>55</v>
      </c>
      <c r="U78" t="s">
        <v>514</v>
      </c>
      <c r="V78" t="s">
        <v>515</v>
      </c>
      <c r="X78" t="s">
        <v>516</v>
      </c>
      <c r="Y78" t="s">
        <v>643</v>
      </c>
      <c r="Z78" t="s">
        <v>624</v>
      </c>
      <c r="AA78" t="s">
        <v>32</v>
      </c>
    </row>
    <row r="79" spans="1:27" ht="17.45" customHeight="1" x14ac:dyDescent="0.2">
      <c r="A79" s="1">
        <v>10</v>
      </c>
      <c r="B79" s="1" t="s">
        <v>654</v>
      </c>
      <c r="C79" s="1">
        <v>10</v>
      </c>
      <c r="D79" t="s">
        <v>387</v>
      </c>
      <c r="E79" t="s">
        <v>388</v>
      </c>
      <c r="F79" t="s">
        <v>389</v>
      </c>
      <c r="G79" t="s">
        <v>51</v>
      </c>
      <c r="H79" s="1">
        <v>22</v>
      </c>
      <c r="I79" s="1">
        <v>10093</v>
      </c>
      <c r="J79" s="1">
        <v>1</v>
      </c>
      <c r="K79" t="s">
        <v>517</v>
      </c>
      <c r="L79" t="s">
        <v>518</v>
      </c>
      <c r="M79" t="s">
        <v>32</v>
      </c>
      <c r="N79" t="s">
        <v>33</v>
      </c>
      <c r="O79" t="s">
        <v>81</v>
      </c>
      <c r="P79" t="s">
        <v>35</v>
      </c>
      <c r="Q79" t="s">
        <v>652</v>
      </c>
      <c r="R79" t="s">
        <v>134</v>
      </c>
      <c r="S79" s="2">
        <f>DATE(2021,11,4)</f>
        <v>44504</v>
      </c>
      <c r="T79" t="s">
        <v>55</v>
      </c>
      <c r="U79" t="s">
        <v>519</v>
      </c>
      <c r="V79" t="s">
        <v>32</v>
      </c>
      <c r="W79" t="s">
        <v>32</v>
      </c>
      <c r="X79" t="s">
        <v>520</v>
      </c>
      <c r="Y79" t="s">
        <v>644</v>
      </c>
      <c r="Z79" t="s">
        <v>624</v>
      </c>
      <c r="AA79" t="s">
        <v>32</v>
      </c>
    </row>
    <row r="80" spans="1:27" ht="17.45" customHeight="1" x14ac:dyDescent="0.2">
      <c r="A80" s="1">
        <v>10</v>
      </c>
      <c r="B80" s="1" t="s">
        <v>654</v>
      </c>
      <c r="C80" s="1">
        <v>10</v>
      </c>
      <c r="D80" t="s">
        <v>387</v>
      </c>
      <c r="E80" t="s">
        <v>388</v>
      </c>
      <c r="F80" t="s">
        <v>389</v>
      </c>
      <c r="G80" t="s">
        <v>51</v>
      </c>
      <c r="H80" s="1">
        <v>22</v>
      </c>
      <c r="I80" s="1">
        <v>10112</v>
      </c>
      <c r="J80" s="1">
        <v>1</v>
      </c>
      <c r="K80" t="s">
        <v>521</v>
      </c>
      <c r="L80" t="s">
        <v>522</v>
      </c>
      <c r="M80" t="s">
        <v>523</v>
      </c>
      <c r="N80" t="s">
        <v>523</v>
      </c>
      <c r="O80" t="s">
        <v>34</v>
      </c>
      <c r="P80" t="s">
        <v>35</v>
      </c>
      <c r="Q80" t="s">
        <v>652</v>
      </c>
      <c r="R80" t="s">
        <v>134</v>
      </c>
      <c r="S80" s="2">
        <f>DATE(2022,11,25)</f>
        <v>44890</v>
      </c>
      <c r="T80" t="s">
        <v>55</v>
      </c>
      <c r="U80" t="s">
        <v>32</v>
      </c>
      <c r="V80" t="s">
        <v>32</v>
      </c>
      <c r="W80" t="s">
        <v>32</v>
      </c>
      <c r="X80" t="s">
        <v>524</v>
      </c>
      <c r="Y80" t="s">
        <v>635</v>
      </c>
      <c r="Z80" t="s">
        <v>624</v>
      </c>
      <c r="AA80" t="s">
        <v>32</v>
      </c>
    </row>
    <row r="81" spans="1:27" ht="17.45" customHeight="1" x14ac:dyDescent="0.2">
      <c r="A81" s="1">
        <v>10</v>
      </c>
      <c r="B81" s="1" t="s">
        <v>654</v>
      </c>
      <c r="C81" s="1">
        <v>10</v>
      </c>
      <c r="D81" t="s">
        <v>387</v>
      </c>
      <c r="E81" t="s">
        <v>388</v>
      </c>
      <c r="F81" t="s">
        <v>389</v>
      </c>
      <c r="G81" t="s">
        <v>51</v>
      </c>
      <c r="H81" s="1">
        <v>22</v>
      </c>
      <c r="I81" s="1">
        <v>10120</v>
      </c>
      <c r="J81" s="1">
        <v>1</v>
      </c>
      <c r="K81" t="s">
        <v>525</v>
      </c>
      <c r="L81" t="s">
        <v>526</v>
      </c>
      <c r="M81" t="s">
        <v>527</v>
      </c>
      <c r="N81" t="s">
        <v>523</v>
      </c>
      <c r="O81" t="s">
        <v>34</v>
      </c>
      <c r="P81" t="s">
        <v>35</v>
      </c>
      <c r="Q81" t="s">
        <v>652</v>
      </c>
      <c r="R81" t="s">
        <v>134</v>
      </c>
      <c r="S81" s="2">
        <f>DATE(2023,9,11)</f>
        <v>45180</v>
      </c>
      <c r="T81" t="s">
        <v>55</v>
      </c>
      <c r="X81" t="s">
        <v>32</v>
      </c>
      <c r="Y81" t="s">
        <v>645</v>
      </c>
      <c r="Z81" t="s">
        <v>624</v>
      </c>
      <c r="AA81" t="s">
        <v>32</v>
      </c>
    </row>
    <row r="82" spans="1:27" ht="17.45" customHeight="1" x14ac:dyDescent="0.2">
      <c r="A82" s="1">
        <v>10</v>
      </c>
      <c r="B82" s="1" t="s">
        <v>654</v>
      </c>
      <c r="C82" s="1">
        <v>10</v>
      </c>
      <c r="D82" t="s">
        <v>387</v>
      </c>
      <c r="E82" t="s">
        <v>388</v>
      </c>
      <c r="F82" t="s">
        <v>389</v>
      </c>
      <c r="G82" t="s">
        <v>51</v>
      </c>
      <c r="H82" s="1">
        <v>22</v>
      </c>
      <c r="I82" s="1">
        <v>10123</v>
      </c>
      <c r="J82" s="1">
        <v>1</v>
      </c>
      <c r="K82" t="s">
        <v>528</v>
      </c>
      <c r="L82" t="s">
        <v>529</v>
      </c>
      <c r="M82" t="s">
        <v>530</v>
      </c>
      <c r="N82" t="s">
        <v>33</v>
      </c>
      <c r="O82" t="s">
        <v>81</v>
      </c>
      <c r="P82" t="s">
        <v>35</v>
      </c>
      <c r="Q82" t="s">
        <v>652</v>
      </c>
      <c r="R82" t="s">
        <v>134</v>
      </c>
      <c r="S82" s="2">
        <f>DATE(2023,10,31)</f>
        <v>45230</v>
      </c>
      <c r="T82" t="s">
        <v>55</v>
      </c>
      <c r="U82" t="s">
        <v>531</v>
      </c>
      <c r="X82" t="s">
        <v>524</v>
      </c>
      <c r="Y82" t="s">
        <v>646</v>
      </c>
      <c r="Z82" t="s">
        <v>624</v>
      </c>
      <c r="AA82" t="s">
        <v>32</v>
      </c>
    </row>
    <row r="83" spans="1:27" ht="17.45" customHeight="1" x14ac:dyDescent="0.2">
      <c r="A83" s="1">
        <v>10</v>
      </c>
      <c r="B83" s="1" t="s">
        <v>654</v>
      </c>
      <c r="C83" s="1">
        <v>10</v>
      </c>
      <c r="D83" t="s">
        <v>387</v>
      </c>
      <c r="E83" t="s">
        <v>388</v>
      </c>
      <c r="F83" t="s">
        <v>389</v>
      </c>
      <c r="G83" t="s">
        <v>51</v>
      </c>
      <c r="H83" s="1">
        <v>22</v>
      </c>
      <c r="I83" s="1">
        <v>1050</v>
      </c>
      <c r="J83" s="1">
        <v>1</v>
      </c>
      <c r="K83" t="s">
        <v>532</v>
      </c>
      <c r="L83" t="s">
        <v>533</v>
      </c>
      <c r="M83" t="s">
        <v>534</v>
      </c>
      <c r="N83" t="s">
        <v>535</v>
      </c>
      <c r="O83" t="s">
        <v>34</v>
      </c>
      <c r="P83" t="s">
        <v>35</v>
      </c>
      <c r="Q83" t="s">
        <v>652</v>
      </c>
      <c r="R83" t="s">
        <v>134</v>
      </c>
      <c r="S83" s="2">
        <f>DATE(2021,3,15)</f>
        <v>44270</v>
      </c>
      <c r="T83" t="s">
        <v>55</v>
      </c>
      <c r="U83" t="s">
        <v>536</v>
      </c>
      <c r="X83" t="s">
        <v>537</v>
      </c>
      <c r="Y83" t="s">
        <v>647</v>
      </c>
      <c r="Z83" t="s">
        <v>624</v>
      </c>
      <c r="AA83" t="s">
        <v>32</v>
      </c>
    </row>
    <row r="84" spans="1:27" ht="17.45" customHeight="1" x14ac:dyDescent="0.2">
      <c r="A84" s="1">
        <v>59</v>
      </c>
      <c r="B84" s="1" t="s">
        <v>661</v>
      </c>
      <c r="C84" s="1">
        <v>59</v>
      </c>
      <c r="D84" t="s">
        <v>538</v>
      </c>
      <c r="E84" t="s">
        <v>539</v>
      </c>
      <c r="F84" t="s">
        <v>267</v>
      </c>
      <c r="G84" t="s">
        <v>160</v>
      </c>
      <c r="H84" s="1">
        <v>21</v>
      </c>
      <c r="I84" s="1">
        <v>11022</v>
      </c>
      <c r="J84" s="1">
        <v>1</v>
      </c>
      <c r="K84" t="s">
        <v>540</v>
      </c>
      <c r="L84" t="s">
        <v>541</v>
      </c>
      <c r="M84" t="s">
        <v>542</v>
      </c>
      <c r="N84" t="s">
        <v>33</v>
      </c>
      <c r="O84" t="s">
        <v>34</v>
      </c>
      <c r="P84" t="s">
        <v>35</v>
      </c>
      <c r="Q84" t="s">
        <v>651</v>
      </c>
      <c r="R84" t="s">
        <v>36</v>
      </c>
      <c r="S84" s="2">
        <f>DATE(2017,4,1)</f>
        <v>42826</v>
      </c>
      <c r="T84" t="s">
        <v>125</v>
      </c>
      <c r="U84" t="s">
        <v>270</v>
      </c>
      <c r="X84" t="s">
        <v>277</v>
      </c>
      <c r="Y84" t="s">
        <v>648</v>
      </c>
      <c r="Z84" t="s">
        <v>649</v>
      </c>
      <c r="AA84" t="s">
        <v>650</v>
      </c>
    </row>
  </sheetData>
  <autoFilter ref="A1:AA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Direcciones de clientes - 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Yelitze Pérez</dc:creator>
  <cp:lastModifiedBy>Yelitze Pérez</cp:lastModifiedBy>
  <dcterms:created xsi:type="dcterms:W3CDTF">2026-02-02T16:55:17Z</dcterms:created>
  <dcterms:modified xsi:type="dcterms:W3CDTF">2026-02-02T17:01:06Z</dcterms:modified>
</cp:coreProperties>
</file>